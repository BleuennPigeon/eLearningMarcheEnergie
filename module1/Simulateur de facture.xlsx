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drawings/drawing3.xml" ContentType="application/vnd.openxmlformats-officedocument.drawing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/>
  <mc:AlternateContent xmlns:mc="http://schemas.openxmlformats.org/markup-compatibility/2006">
    <mc:Choice Requires="x15">
      <x15ac:absPath xmlns:x15ac="http://schemas.microsoft.com/office/spreadsheetml/2010/11/ac" url="https://myjunia.sharepoint.com/teams/STUDENT_ProjetYes_jxk0fb/Shared Documents/General/"/>
    </mc:Choice>
  </mc:AlternateContent>
  <xr:revisionPtr revIDLastSave="272" documentId="13_ncr:1_{31512816-80F1-46CB-93B4-4E808A1D2DBA}" xr6:coauthVersionLast="47" xr6:coauthVersionMax="47" xr10:uidLastSave="{6175B145-1C77-4DCB-AD6E-6408FC281A16}"/>
  <bookViews>
    <workbookView xWindow="-110" yWindow="-110" windowWidth="19420" windowHeight="10300" xr2:uid="{00000000-000D-0000-FFFF-FFFF00000000}"/>
  </bookViews>
  <sheets>
    <sheet name="Simulateur" sheetId="1" r:id="rId1"/>
    <sheet name="Base de données" sheetId="4" r:id="rId2"/>
    <sheet name="Tarifs" sheetId="5" r:id="rId3"/>
    <sheet name="Calculs" sheetId="6" r:id="rId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0" i="1" l="1"/>
  <c r="B23" i="6"/>
  <c r="O14" i="4"/>
  <c r="F26" i="4"/>
  <c r="E26" i="4"/>
  <c r="C23" i="6"/>
  <c r="C22" i="6"/>
  <c r="C21" i="6"/>
  <c r="B22" i="6"/>
  <c r="B21" i="6"/>
  <c r="B18" i="6"/>
  <c r="C18" i="6" s="1"/>
  <c r="B19" i="6"/>
  <c r="C19" i="6" s="1"/>
  <c r="H11" i="6"/>
  <c r="H10" i="6"/>
  <c r="E20" i="4"/>
  <c r="F20" i="4"/>
  <c r="E27" i="4"/>
  <c r="F27" i="4"/>
  <c r="E14" i="4"/>
  <c r="E13" i="4"/>
  <c r="E19" i="4"/>
  <c r="F19" i="4"/>
  <c r="F13" i="4"/>
  <c r="F14" i="4"/>
  <c r="F15" i="4"/>
  <c r="F16" i="4"/>
  <c r="F17" i="4"/>
  <c r="F18" i="4"/>
  <c r="O15" i="4"/>
  <c r="F21" i="4"/>
  <c r="F22" i="4"/>
  <c r="F23" i="4"/>
  <c r="F24" i="4"/>
  <c r="F25" i="4"/>
  <c r="F28" i="4"/>
  <c r="F29" i="4"/>
  <c r="F30" i="4"/>
  <c r="F31" i="4"/>
  <c r="F32" i="4"/>
  <c r="F33" i="4"/>
  <c r="F34" i="4"/>
  <c r="F35" i="4"/>
  <c r="F36" i="4"/>
  <c r="F37" i="4"/>
  <c r="F38" i="4"/>
  <c r="F39" i="4"/>
  <c r="F40" i="4"/>
  <c r="F41" i="4"/>
  <c r="F42" i="4"/>
  <c r="F43" i="4"/>
  <c r="F44" i="4"/>
  <c r="F45" i="4"/>
  <c r="F46" i="4"/>
  <c r="F47" i="4"/>
  <c r="F48" i="4"/>
  <c r="E15" i="4"/>
  <c r="E16" i="4"/>
  <c r="E17" i="4"/>
  <c r="E18" i="4"/>
  <c r="E21" i="4"/>
  <c r="E22" i="4"/>
  <c r="E23" i="4"/>
  <c r="E24" i="4"/>
  <c r="E25" i="4"/>
  <c r="E28" i="4"/>
  <c r="E29" i="4"/>
  <c r="E30" i="4"/>
  <c r="E31" i="4"/>
  <c r="E32" i="4"/>
  <c r="E33" i="4"/>
  <c r="E34" i="4"/>
  <c r="E35" i="4"/>
  <c r="E36" i="4"/>
  <c r="E37" i="4"/>
  <c r="E38" i="4"/>
  <c r="E39" i="4"/>
  <c r="E40" i="4"/>
  <c r="E41" i="4"/>
  <c r="E42" i="4"/>
  <c r="E43" i="4"/>
  <c r="E44" i="4"/>
  <c r="E45" i="4"/>
  <c r="E46" i="4"/>
  <c r="E47" i="4"/>
  <c r="E48" i="4"/>
  <c r="H6" i="6" l="1"/>
  <c r="D23" i="1"/>
  <c r="D24" i="1" s="1"/>
  <c r="B20" i="6" l="1"/>
  <c r="B20" i="1"/>
  <c r="B21" i="1" s="1"/>
  <c r="C20" i="6"/>
  <c r="B22" i="1"/>
  <c r="B23" i="1" l="1"/>
  <c r="B24" i="1" s="1"/>
</calcChain>
</file>

<file path=xl/sharedStrings.xml><?xml version="1.0" encoding="utf-8"?>
<sst xmlns="http://schemas.openxmlformats.org/spreadsheetml/2006/main" count="102" uniqueCount="83">
  <si>
    <t>Consommation HP (kWh)</t>
  </si>
  <si>
    <t>Consommation HC (kWh)</t>
  </si>
  <si>
    <t>Surface en m2</t>
  </si>
  <si>
    <t>Nombre d'occupants</t>
  </si>
  <si>
    <t>Qualité de l'isolation</t>
  </si>
  <si>
    <t>Type d'énergie</t>
  </si>
  <si>
    <t>Tout électrique</t>
  </si>
  <si>
    <t>Electrique et gaz</t>
  </si>
  <si>
    <t>Ne pas modifier les cellules ci-dessous</t>
  </si>
  <si>
    <t>Qualité d'isolation</t>
  </si>
  <si>
    <t>Ancienne</t>
  </si>
  <si>
    <t>RE2020 (récente)</t>
  </si>
  <si>
    <t>RT2012 (moyenne)</t>
  </si>
  <si>
    <t>Cette page est l'interface où vous saisissez vos données et voyez le résultat. Veuillez compléter les cellules en JAUNE</t>
  </si>
  <si>
    <t>Appareil</t>
  </si>
  <si>
    <t>Puissance moyenne (Watts)</t>
  </si>
  <si>
    <t>Réfrigérateur</t>
  </si>
  <si>
    <t>Lave-linge</t>
  </si>
  <si>
    <t>Lave-vaisselle</t>
  </si>
  <si>
    <t>Four électrique</t>
  </si>
  <si>
    <t>TV (LED)</t>
  </si>
  <si>
    <t>Ordinateur Portable</t>
  </si>
  <si>
    <t>Sèche-linge</t>
  </si>
  <si>
    <t>Micro-onde</t>
  </si>
  <si>
    <t>Box internet</t>
  </si>
  <si>
    <t>Ampoule LED (total)</t>
  </si>
  <si>
    <t>Cellule à compléter</t>
  </si>
  <si>
    <t>Cette page est la partie "cachée" qui fait les opérations. Ne pas modifier les formules</t>
  </si>
  <si>
    <t>Formule convertion puissance en consommation annuelle</t>
  </si>
  <si>
    <t>Temps d'utilisation en heure/jour</t>
  </si>
  <si>
    <t>Nombre de jour par semaine</t>
  </si>
  <si>
    <t>Temps d'uitlisation en heure/jour</t>
  </si>
  <si>
    <t>Heure/semaine d'utilisation</t>
  </si>
  <si>
    <t>Cette feuille correspond aux données nécessaires au fonctionnement du simulateur. Veuillez remplir les colonnes du tableau en JAUNE</t>
  </si>
  <si>
    <t>Aspirateur</t>
  </si>
  <si>
    <t>Bouilloire</t>
  </si>
  <si>
    <t>Sèche cheveux</t>
  </si>
  <si>
    <t>Consommation annuelle (kWh)</t>
  </si>
  <si>
    <t>Consommation/an (kWh)</t>
  </si>
  <si>
    <t>Type de contrat</t>
  </si>
  <si>
    <t>Normal</t>
  </si>
  <si>
    <t>HP/HC</t>
  </si>
  <si>
    <t>Formule calcule conso total avec chauffage</t>
  </si>
  <si>
    <t>E = (P * h * j)/1000</t>
  </si>
  <si>
    <r>
      <rPr>
        <b/>
        <sz val="11"/>
        <color theme="1"/>
        <rFont val="Aptos Narrow"/>
        <family val="2"/>
        <scheme val="minor"/>
      </rPr>
      <t>Explication :</t>
    </r>
    <r>
      <rPr>
        <sz val="11"/>
        <color theme="1"/>
        <rFont val="Aptos Narrow"/>
        <family val="2"/>
        <scheme val="minor"/>
      </rPr>
      <t xml:space="preserve"> On prend le total des appareils + (la surface *un coefficient qui dépend de l'isolation : 150 kWh/m²/an pour l'ancien, 100 kWh/m²/an  pour le moyen, 50 kWh/m²/an pour le neuf)+ nb d'occupant * 900 kWhpour couvrir l'eau chaude et l'usage courant par personne.</t>
    </r>
  </si>
  <si>
    <t>Résultat conso annuelle=</t>
  </si>
  <si>
    <t>Electricité</t>
  </si>
  <si>
    <t>Gaz</t>
  </si>
  <si>
    <t>Informations</t>
  </si>
  <si>
    <t>Les prix du kWh selon les fournisseurs. Veuillez modifier les prix des cases en Jaune si vous les avez</t>
  </si>
  <si>
    <t>Contrat</t>
  </si>
  <si>
    <t>Prix €/kWh</t>
  </si>
  <si>
    <t>HP</t>
  </si>
  <si>
    <t>HC</t>
  </si>
  <si>
    <t>Prix total élec €</t>
  </si>
  <si>
    <t>Prix total gaz €</t>
  </si>
  <si>
    <t>Prix total élec €/mois</t>
  </si>
  <si>
    <t>Prix total gaz €/mois</t>
  </si>
  <si>
    <t>Fonctionnement du simulateur</t>
  </si>
  <si>
    <t>Pour utiliser le simulateur il faut compléter les cellules en JAUNE dans les 3 feuilles de calcules (Simulateur, Base de données et tarifs)</t>
  </si>
  <si>
    <t>Abonnement €/an</t>
  </si>
  <si>
    <t>Chauffage</t>
  </si>
  <si>
    <t>Poste de dépense</t>
  </si>
  <si>
    <t>Consommation</t>
  </si>
  <si>
    <t>Eau chaude</t>
  </si>
  <si>
    <t>Electroménager</t>
  </si>
  <si>
    <t>Résultat chauffage</t>
  </si>
  <si>
    <t>Résultat Eau chaude</t>
  </si>
  <si>
    <t>Prix</t>
  </si>
  <si>
    <t>Abonnement gaz</t>
  </si>
  <si>
    <t>Simulateur de facture électrique</t>
  </si>
  <si>
    <t>Abonnement élec</t>
  </si>
  <si>
    <t>Electrique</t>
  </si>
  <si>
    <t>Tye de plaques de cuisson</t>
  </si>
  <si>
    <t>Type de plaques de cuisson</t>
  </si>
  <si>
    <t xml:space="preserve">Puissance </t>
  </si>
  <si>
    <t>temps/j</t>
  </si>
  <si>
    <t>j/semaine</t>
  </si>
  <si>
    <t>total/semaine</t>
  </si>
  <si>
    <t>conso kWh</t>
  </si>
  <si>
    <t>Plaques de cuisson</t>
  </si>
  <si>
    <t>(sans plaques)</t>
  </si>
  <si>
    <t>Les puissances moyennes et temps d'utilisation de chaque appareil. Ajoutez des appareils si besoin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</si>
</sst>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Aptos Narrow"/>
      <family val="2"/>
      <scheme val="minor"/>
    </font>
    <font>
      <b/>
      <sz val="11"/>
      <color rgb="FF1F1F1F"/>
      <name val="Arial"/>
      <family val="2"/>
    </font>
    <font>
      <sz val="11"/>
      <color rgb="FFFF0000"/>
      <name val="Aptos Narrow"/>
      <family val="2"/>
      <scheme val="minor"/>
    </font>
    <font>
      <sz val="11"/>
      <color theme="1"/>
      <name val="Arial"/>
      <family val="2"/>
    </font>
    <font>
      <sz val="14"/>
      <color theme="1"/>
      <name val="Aptos Narrow"/>
      <family val="2"/>
      <scheme val="minor"/>
    </font>
    <font>
      <b/>
      <sz val="11"/>
      <color rgb="FFFFFF00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22"/>
      <color rgb="FFF39200"/>
      <name val="Aptos Narrow"/>
      <family val="2"/>
      <scheme val="minor"/>
    </font>
    <font>
      <b/>
      <sz val="18"/>
      <color rgb="FFF39200"/>
      <name val="Aptos Narrow"/>
      <family val="2"/>
      <scheme val="minor"/>
    </font>
    <font>
      <b/>
      <sz val="28"/>
      <color rgb="FFF39200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5C2D91"/>
        <bgColor indexed="64"/>
      </patternFill>
    </fill>
  </fills>
  <borders count="16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FF0000"/>
      </left>
      <right/>
      <top style="thin">
        <color rgb="FFFF0000"/>
      </top>
      <bottom/>
      <diagonal/>
    </border>
    <border>
      <left/>
      <right/>
      <top style="thin">
        <color rgb="FFFF0000"/>
      </top>
      <bottom/>
      <diagonal/>
    </border>
    <border>
      <left/>
      <right style="thin">
        <color rgb="FFFF0000"/>
      </right>
      <top style="thin">
        <color rgb="FFFF0000"/>
      </top>
      <bottom/>
      <diagonal/>
    </border>
    <border>
      <left style="thin">
        <color rgb="FFFF0000"/>
      </left>
      <right/>
      <top/>
      <bottom/>
      <diagonal/>
    </border>
    <border>
      <left/>
      <right style="thin">
        <color rgb="FFFF0000"/>
      </right>
      <top/>
      <bottom/>
      <diagonal/>
    </border>
    <border>
      <left style="thin">
        <color rgb="FFFF0000"/>
      </left>
      <right/>
      <top/>
      <bottom style="thin">
        <color rgb="FFFF0000"/>
      </bottom>
      <diagonal/>
    </border>
    <border>
      <left/>
      <right/>
      <top/>
      <bottom style="thin">
        <color rgb="FFFF0000"/>
      </bottom>
      <diagonal/>
    </border>
    <border>
      <left/>
      <right style="thin">
        <color rgb="FFFF0000"/>
      </right>
      <top/>
      <bottom style="thin">
        <color rgb="FFFF0000"/>
      </bottom>
      <diagonal/>
    </border>
    <border>
      <left/>
      <right/>
      <top/>
      <bottom style="medium">
        <color rgb="FF000000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53">
    <xf numFmtId="0" fontId="0" fillId="0" borderId="0" xfId="0"/>
    <xf numFmtId="0" fontId="1" fillId="0" borderId="1" xfId="0" applyFont="1" applyBorder="1" applyAlignment="1">
      <alignment horizontal="left" vertical="center" wrapText="1" indent="1" readingOrder="1"/>
    </xf>
    <xf numFmtId="0" fontId="0" fillId="0" borderId="0" xfId="0" applyAlignment="1">
      <alignment vertical="center" wrapText="1"/>
    </xf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3" borderId="6" xfId="0" applyFill="1" applyBorder="1"/>
    <xf numFmtId="0" fontId="0" fillId="2" borderId="0" xfId="0" applyFill="1" applyAlignment="1">
      <alignment horizontal="center"/>
    </xf>
    <xf numFmtId="0" fontId="0" fillId="3" borderId="0" xfId="0" applyFill="1" applyAlignment="1">
      <alignment horizontal="center"/>
    </xf>
    <xf numFmtId="0" fontId="0" fillId="0" borderId="2" xfId="0" applyBorder="1"/>
    <xf numFmtId="0" fontId="0" fillId="2" borderId="2" xfId="0" applyFill="1" applyBorder="1"/>
    <xf numFmtId="0" fontId="3" fillId="0" borderId="0" xfId="0" applyFont="1" applyAlignment="1">
      <alignment vertical="center"/>
    </xf>
    <xf numFmtId="0" fontId="0" fillId="0" borderId="0" xfId="0" applyAlignment="1">
      <alignment horizontal="left" vertical="center" indent="1"/>
    </xf>
    <xf numFmtId="0" fontId="3" fillId="0" borderId="0" xfId="0" applyFont="1" applyAlignment="1">
      <alignment horizontal="left" vertical="center" indent="1"/>
    </xf>
    <xf numFmtId="0" fontId="0" fillId="3" borderId="0" xfId="0" applyFill="1"/>
    <xf numFmtId="0" fontId="5" fillId="0" borderId="1" xfId="0" applyFont="1" applyBorder="1" applyAlignment="1">
      <alignment horizontal="left" vertical="center" wrapText="1" indent="1" readingOrder="1"/>
    </xf>
    <xf numFmtId="0" fontId="0" fillId="0" borderId="0" xfId="0" applyAlignment="1">
      <alignment horizontal="right"/>
    </xf>
    <xf numFmtId="0" fontId="0" fillId="0" borderId="12" xfId="0" applyBorder="1"/>
    <xf numFmtId="0" fontId="0" fillId="0" borderId="0" xfId="0" applyAlignment="1">
      <alignment wrapText="1"/>
    </xf>
    <xf numFmtId="0" fontId="0" fillId="0" borderId="15" xfId="0" applyBorder="1"/>
    <xf numFmtId="0" fontId="0" fillId="2" borderId="15" xfId="0" applyFill="1" applyBorder="1"/>
    <xf numFmtId="0" fontId="0" fillId="2" borderId="2" xfId="0" applyFill="1" applyBorder="1" applyAlignment="1">
      <alignment horizontal="right"/>
    </xf>
    <xf numFmtId="2" fontId="0" fillId="0" borderId="2" xfId="0" applyNumberFormat="1" applyBorder="1" applyAlignment="1">
      <alignment horizontal="right"/>
    </xf>
    <xf numFmtId="2" fontId="0" fillId="0" borderId="2" xfId="0" applyNumberFormat="1" applyBorder="1"/>
    <xf numFmtId="2" fontId="0" fillId="0" borderId="0" xfId="0" applyNumberFormat="1" applyAlignment="1">
      <alignment horizontal="right"/>
    </xf>
    <xf numFmtId="0" fontId="0" fillId="4" borderId="0" xfId="0" applyFill="1"/>
    <xf numFmtId="0" fontId="9" fillId="4" borderId="0" xfId="0" applyFont="1" applyFill="1" applyAlignment="1">
      <alignment vertical="center"/>
    </xf>
    <xf numFmtId="0" fontId="9" fillId="0" borderId="0" xfId="0" applyFont="1" applyAlignment="1">
      <alignment vertical="center"/>
    </xf>
    <xf numFmtId="0" fontId="10" fillId="0" borderId="0" xfId="0" applyFont="1" applyAlignment="1">
      <alignment vertical="center"/>
    </xf>
    <xf numFmtId="2" fontId="0" fillId="0" borderId="0" xfId="0" applyNumberFormat="1"/>
    <xf numFmtId="0" fontId="0" fillId="0" borderId="0" xfId="0" applyAlignment="1">
      <alignment horizontal="center" vertical="center" wrapText="1"/>
    </xf>
    <xf numFmtId="0" fontId="0" fillId="3" borderId="0" xfId="0" applyFill="1" applyAlignment="1">
      <alignment horizontal="center"/>
    </xf>
    <xf numFmtId="0" fontId="0" fillId="3" borderId="0" xfId="0" applyFill="1" applyAlignment="1">
      <alignment horizontal="right" vertical="center" wrapText="1"/>
    </xf>
    <xf numFmtId="0" fontId="0" fillId="3" borderId="2" xfId="0" applyFill="1" applyBorder="1" applyAlignment="1">
      <alignment horizontal="center"/>
    </xf>
    <xf numFmtId="0" fontId="0" fillId="3" borderId="13" xfId="0" applyFill="1" applyBorder="1" applyAlignment="1">
      <alignment horizontal="center"/>
    </xf>
    <xf numFmtId="0" fontId="0" fillId="3" borderId="14" xfId="0" applyFill="1" applyBorder="1" applyAlignment="1">
      <alignment horizontal="center"/>
    </xf>
    <xf numFmtId="0" fontId="9" fillId="4" borderId="0" xfId="0" applyFont="1" applyFill="1" applyAlignment="1">
      <alignment horizontal="center" vertical="center"/>
    </xf>
    <xf numFmtId="0" fontId="2" fillId="3" borderId="3" xfId="0" applyFont="1" applyFill="1" applyBorder="1" applyAlignment="1">
      <alignment horizontal="center"/>
    </xf>
    <xf numFmtId="0" fontId="2" fillId="3" borderId="4" xfId="0" applyFont="1" applyFill="1" applyBorder="1" applyAlignment="1">
      <alignment horizontal="center"/>
    </xf>
    <xf numFmtId="0" fontId="4" fillId="0" borderId="0" xfId="0" applyFont="1" applyAlignment="1">
      <alignment horizontal="center" vertical="center" wrapText="1"/>
    </xf>
    <xf numFmtId="0" fontId="4" fillId="0" borderId="11" xfId="0" applyFont="1" applyBorder="1" applyAlignment="1">
      <alignment horizontal="center" vertical="center" wrapText="1"/>
    </xf>
    <xf numFmtId="0" fontId="0" fillId="3" borderId="0" xfId="0" applyFill="1" applyAlignment="1">
      <alignment horizontal="center" vertical="center" wrapText="1"/>
    </xf>
    <xf numFmtId="0" fontId="11" fillId="4" borderId="0" xfId="0" applyFont="1" applyFill="1" applyAlignment="1">
      <alignment horizontal="center" vertical="center"/>
    </xf>
    <xf numFmtId="0" fontId="0" fillId="3" borderId="0" xfId="0" applyFill="1" applyAlignment="1">
      <alignment horizontal="right" wrapText="1"/>
    </xf>
    <xf numFmtId="0" fontId="10" fillId="4" borderId="0" xfId="0" applyFont="1" applyFill="1" applyAlignment="1">
      <alignment horizontal="center" vertical="center"/>
    </xf>
    <xf numFmtId="0" fontId="0" fillId="0" borderId="0" xfId="0" applyAlignment="1">
      <alignment horizontal="center"/>
    </xf>
    <xf numFmtId="0" fontId="0" fillId="3" borderId="0" xfId="0" applyFill="1" applyAlignment="1">
      <alignment horizontal="center" wrapText="1"/>
    </xf>
    <xf numFmtId="0" fontId="7" fillId="0" borderId="0" xfId="0" applyFont="1" applyAlignment="1">
      <alignment horizontal="center" wrapText="1"/>
    </xf>
    <xf numFmtId="0" fontId="6" fillId="0" borderId="0" xfId="0" applyFont="1" applyAlignment="1">
      <alignment horizontal="center" wrapText="1"/>
    </xf>
  </cellXfs>
  <cellStyles count="1">
    <cellStyle name="Normal" xfId="0" builtinId="0"/>
  </cellStyles>
  <dxfs count="4">
    <dxf>
      <numFmt numFmtId="2" formatCode="0.00"/>
      <alignment horizontal="right" vertical="bottom" textRotation="0" wrapText="0" indent="0" justifyLastLine="0" shrinkToFit="0" readingOrder="0"/>
    </dxf>
    <dxf>
      <numFmt numFmtId="2" formatCode="0.00"/>
      <alignment horizontal="right" vertical="bottom" textRotation="0" wrapText="0" indent="0" justifyLastLine="0" shrinkToFit="0" readingOrder="0"/>
    </dxf>
    <dxf>
      <font>
        <b/>
        <color rgb="FF1F1F1F"/>
        <name val="Arial"/>
        <family val="2"/>
        <scheme val="none"/>
      </font>
      <numFmt numFmtId="0" formatCode="General"/>
      <alignment horizontal="left" vertical="center" textRotation="0" wrapText="1" indent="1" justifyLastLine="0" shrinkToFit="0" readingOrder="1"/>
      <border diagonalUp="0" diagonalDown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Arial"/>
        <family val="2"/>
        <scheme val="none"/>
      </font>
      <numFmt numFmtId="0" formatCode="General"/>
      <alignment horizontal="left" vertical="center" textRotation="0" wrapText="1" indent="1" justifyLastLine="0" shrinkToFit="0" readingOrder="1"/>
      <border diagonalUp="0" diagonalDown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  <vertical/>
        <horizontal/>
      </border>
    </dxf>
  </dxfs>
  <tableStyles count="0" defaultTableStyle="TableStyleMedium2" defaultPivotStyle="PivotStyleMedium9"/>
  <colors>
    <mruColors>
      <color rgb="FFF39200"/>
      <color rgb="FF5C2D9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Répartition conso kWh/an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Calculs!$B$17</c:f>
              <c:strCache>
                <c:ptCount val="1"/>
                <c:pt idx="0">
                  <c:v>Consommation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B9FA-4CB0-84D9-A46D1E455822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B9FA-4CB0-84D9-A46D1E455822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B9FA-4CB0-84D9-A46D1E455822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C198-48A0-8992-610C8193AE3A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Calculs!$A$18:$A$23</c15:sqref>
                  </c15:fullRef>
                </c:ext>
              </c:extLst>
              <c:f>(Calculs!$A$18:$A$20,Calculs!$A$23)</c:f>
              <c:strCache>
                <c:ptCount val="4"/>
                <c:pt idx="0">
                  <c:v>Chauffage</c:v>
                </c:pt>
                <c:pt idx="1">
                  <c:v>Eau chaude</c:v>
                </c:pt>
                <c:pt idx="2">
                  <c:v>Electroménager</c:v>
                </c:pt>
                <c:pt idx="3">
                  <c:v>Plaques de cuisson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Calculs!$B$18:$B$23</c15:sqref>
                  </c15:fullRef>
                </c:ext>
              </c:extLst>
              <c:f>(Calculs!$B$18:$B$20,Calculs!$B$23)</c:f>
              <c:numCache>
                <c:formatCode>0.00</c:formatCode>
                <c:ptCount val="4"/>
                <c:pt idx="0">
                  <c:v>2000</c:v>
                </c:pt>
                <c:pt idx="1">
                  <c:v>1800</c:v>
                </c:pt>
                <c:pt idx="2">
                  <c:v>3701.3600000000006</c:v>
                </c:pt>
                <c:pt idx="3">
                  <c:v>364</c:v>
                </c:pt>
              </c:numCache>
            </c:numRef>
          </c:val>
          <c:extLst>
            <c:ext xmlns:c15="http://schemas.microsoft.com/office/drawing/2012/chart" uri="{02D57815-91ED-43cb-92C2-25804820EDAC}">
              <c15:categoryFilterExceptions>
                <c15:categoryFilterException>
                  <c15:sqref>Calculs!$B$21</c15:sqref>
                  <c15:spPr xmlns:c15="http://schemas.microsoft.com/office/drawing/2012/chart">
                    <a:solidFill>
                      <a:schemeClr val="accent4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15:spPr>
                  <c15:bubble3D val="0"/>
                </c15:categoryFilterException>
                <c15:categoryFilterException>
                  <c15:sqref>Calculs!$B$22</c15:sqref>
                  <c15:spPr xmlns:c15="http://schemas.microsoft.com/office/drawing/2012/chart">
                    <a:solidFill>
                      <a:schemeClr val="accent5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15:spPr>
                  <c15:bubble3D val="0"/>
                </c15:categoryFilterException>
              </c15:categoryFilterExceptions>
            </c:ext>
            <c:ext xmlns:c16="http://schemas.microsoft.com/office/drawing/2014/chart" uri="{C3380CC4-5D6E-409C-BE32-E72D297353CC}">
              <c16:uniqueId val="{00000000-6B6D-47D0-B78E-BECFB2081A04}"/>
            </c:ext>
          </c:extLst>
        </c:ser>
        <c:ser>
          <c:idx val="1"/>
          <c:order val="1"/>
          <c:tx>
            <c:strRef>
              <c:f>Calculs!$C$17</c:f>
              <c:strCache>
                <c:ptCount val="1"/>
                <c:pt idx="0">
                  <c:v>Prix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B9FA-4CB0-84D9-A46D1E455822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B9FA-4CB0-84D9-A46D1E455822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F-B9FA-4CB0-84D9-A46D1E455822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F-C198-48A0-8992-610C8193AE3A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Calculs!$A$18:$A$23</c15:sqref>
                  </c15:fullRef>
                </c:ext>
              </c:extLst>
              <c:f>(Calculs!$A$18:$A$20,Calculs!$A$23)</c:f>
              <c:strCache>
                <c:ptCount val="4"/>
                <c:pt idx="0">
                  <c:v>Chauffage</c:v>
                </c:pt>
                <c:pt idx="1">
                  <c:v>Eau chaude</c:v>
                </c:pt>
                <c:pt idx="2">
                  <c:v>Electroménager</c:v>
                </c:pt>
                <c:pt idx="3">
                  <c:v>Plaques de cuisson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Calculs!$C$18:$C$23</c15:sqref>
                  </c15:fullRef>
                </c:ext>
              </c:extLst>
              <c:f>(Calculs!$C$18:$C$20,Calculs!$C$23)</c:f>
              <c:numCache>
                <c:formatCode>0.00</c:formatCode>
                <c:ptCount val="4"/>
                <c:pt idx="0">
                  <c:v>209</c:v>
                </c:pt>
                <c:pt idx="1">
                  <c:v>188.1</c:v>
                </c:pt>
                <c:pt idx="2">
                  <c:v>704.22075360000008</c:v>
                </c:pt>
                <c:pt idx="3">
                  <c:v>69.254639999999995</c:v>
                </c:pt>
              </c:numCache>
            </c:numRef>
          </c:val>
          <c:extLst>
            <c:ext xmlns:c15="http://schemas.microsoft.com/office/drawing/2012/chart" uri="{02D57815-91ED-43cb-92C2-25804820EDAC}">
              <c15:categoryFilterExceptions>
                <c15:categoryFilterException>
                  <c15:sqref>Calculs!$C$21</c15:sqref>
                  <c15:spPr xmlns:c15="http://schemas.microsoft.com/office/drawing/2012/chart">
                    <a:solidFill>
                      <a:schemeClr val="accent4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15:spPr>
                  <c15:bubble3D val="0"/>
                </c15:categoryFilterException>
                <c15:categoryFilterException>
                  <c15:sqref>Calculs!$C$22</c15:sqref>
                  <c15:spPr xmlns:c15="http://schemas.microsoft.com/office/drawing/2012/chart">
                    <a:solidFill>
                      <a:schemeClr val="accent5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15:spPr>
                  <c15:bubble3D val="0"/>
                </c15:categoryFilterException>
              </c15:categoryFilterExceptions>
            </c:ext>
            <c:ext xmlns:c16="http://schemas.microsoft.com/office/drawing/2014/chart" uri="{C3380CC4-5D6E-409C-BE32-E72D297353CC}">
              <c16:uniqueId val="{00000001-6B6D-47D0-B78E-BECFB2081A04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Répartition</a:t>
            </a:r>
            <a:r>
              <a:rPr lang="en-US" baseline="0"/>
              <a:t> du prix €/an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Calculs!$C$17</c:f>
              <c:strCache>
                <c:ptCount val="1"/>
                <c:pt idx="0">
                  <c:v>Prix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A104-4DAA-9684-75DA87E5D93E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A104-4DAA-9684-75DA87E5D93E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A104-4DAA-9684-75DA87E5D93E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A104-4DAA-9684-75DA87E5D93E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A104-4DAA-9684-75DA87E5D93E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2649-4DC8-BA16-12E4FFBEFA9C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Calculs!$A$18:$A$23</c:f>
              <c:strCache>
                <c:ptCount val="6"/>
                <c:pt idx="0">
                  <c:v>Chauffage</c:v>
                </c:pt>
                <c:pt idx="1">
                  <c:v>Eau chaude</c:v>
                </c:pt>
                <c:pt idx="2">
                  <c:v>Electroménager</c:v>
                </c:pt>
                <c:pt idx="3">
                  <c:v>Abonnement élec</c:v>
                </c:pt>
                <c:pt idx="4">
                  <c:v>Abonnement gaz</c:v>
                </c:pt>
                <c:pt idx="5">
                  <c:v>Plaques de cuisson</c:v>
                </c:pt>
              </c:strCache>
            </c:strRef>
          </c:cat>
          <c:val>
            <c:numRef>
              <c:f>Calculs!$C$18:$C$23</c:f>
              <c:numCache>
                <c:formatCode>0.00</c:formatCode>
                <c:ptCount val="6"/>
                <c:pt idx="0">
                  <c:v>209</c:v>
                </c:pt>
                <c:pt idx="1">
                  <c:v>188.1</c:v>
                </c:pt>
                <c:pt idx="2">
                  <c:v>704.22075360000008</c:v>
                </c:pt>
                <c:pt idx="3">
                  <c:v>150</c:v>
                </c:pt>
                <c:pt idx="4">
                  <c:v>250</c:v>
                </c:pt>
                <c:pt idx="5">
                  <c:v>69.254639999999995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D68-4B85-AD06-E2A2B6060B30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jpeg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2520</xdr:colOff>
      <xdr:row>28</xdr:row>
      <xdr:rowOff>7560</xdr:rowOff>
    </xdr:from>
    <xdr:to>
      <xdr:col>2</xdr:col>
      <xdr:colOff>-1</xdr:colOff>
      <xdr:row>41</xdr:row>
      <xdr:rowOff>110873</xdr:rowOff>
    </xdr:to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9C156652-44A9-CEC2-C258-F4548D58609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1507116</xdr:colOff>
      <xdr:row>28</xdr:row>
      <xdr:rowOff>20158</xdr:rowOff>
    </xdr:from>
    <xdr:to>
      <xdr:col>3</xdr:col>
      <xdr:colOff>1511904</xdr:colOff>
      <xdr:row>41</xdr:row>
      <xdr:rowOff>120951</xdr:rowOff>
    </xdr:to>
    <xdr:graphicFrame macro="">
      <xdr:nvGraphicFramePr>
        <xdr:cNvPr id="3" name="Graphique 2">
          <a:extLst>
            <a:ext uri="{FF2B5EF4-FFF2-40B4-BE49-F238E27FC236}">
              <a16:creationId xmlns:a16="http://schemas.microsoft.com/office/drawing/2014/main" id="{81BBBD54-0A9B-24E6-2115-FFEE243EB2C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202233</xdr:colOff>
      <xdr:row>6</xdr:row>
      <xdr:rowOff>20159</xdr:rowOff>
    </xdr:to>
    <xdr:pic>
      <xdr:nvPicPr>
        <xdr:cNvPr id="5" name="Image 4">
          <a:extLst>
            <a:ext uri="{FF2B5EF4-FFF2-40B4-BE49-F238E27FC236}">
              <a16:creationId xmlns:a16="http://schemas.microsoft.com/office/drawing/2014/main" id="{552D8807-82FF-3F17-4B3A-A59BD43CF13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7360" b="17958"/>
        <a:stretch>
          <a:fillRect/>
        </a:stretch>
      </xdr:blipFill>
      <xdr:spPr>
        <a:xfrm>
          <a:off x="0" y="0"/>
          <a:ext cx="1714138" cy="110873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8183</xdr:colOff>
      <xdr:row>6</xdr:row>
      <xdr:rowOff>7135</xdr:rowOff>
    </xdr:to>
    <xdr:pic>
      <xdr:nvPicPr>
        <xdr:cNvPr id="2" name="Image 1">
          <a:extLst>
            <a:ext uri="{FF2B5EF4-FFF2-40B4-BE49-F238E27FC236}">
              <a16:creationId xmlns:a16="http://schemas.microsoft.com/office/drawing/2014/main" id="{500A0C80-9ED0-4352-8C36-8B81666CC69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7360" b="17958"/>
        <a:stretch>
          <a:fillRect/>
        </a:stretch>
      </xdr:blipFill>
      <xdr:spPr>
        <a:xfrm>
          <a:off x="0" y="0"/>
          <a:ext cx="1663464" cy="1098764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10928</xdr:colOff>
      <xdr:row>4</xdr:row>
      <xdr:rowOff>12700</xdr:rowOff>
    </xdr:to>
    <xdr:pic>
      <xdr:nvPicPr>
        <xdr:cNvPr id="2" name="Image 1">
          <a:extLst>
            <a:ext uri="{FF2B5EF4-FFF2-40B4-BE49-F238E27FC236}">
              <a16:creationId xmlns:a16="http://schemas.microsoft.com/office/drawing/2014/main" id="{3E0E2D4F-E29F-4880-928D-29850EB6BB8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7360" b="17958"/>
        <a:stretch>
          <a:fillRect/>
        </a:stretch>
      </xdr:blipFill>
      <xdr:spPr>
        <a:xfrm>
          <a:off x="0" y="0"/>
          <a:ext cx="1141228" cy="749300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570D8E7-410C-4287-B19C-3EDF1AC510F0}" name="Tableau1" displayName="Tableau1" ref="A12:F48" totalsRowShown="0">
  <autoFilter ref="A12:F48" xr:uid="{5570D8E7-410C-4287-B19C-3EDF1AC510F0}"/>
  <tableColumns count="6">
    <tableColumn id="1" xr3:uid="{59D1B9C8-1A78-4B0F-A1B6-3E8FA1D9C4D0}" name="Appareil"/>
    <tableColumn id="2" xr3:uid="{B17551E0-D7DB-4F12-AE39-B7B1E25B093F}" name="Puissance moyenne (Watts)"/>
    <tableColumn id="3" xr3:uid="{D5AC9CA0-357C-4CB6-8A98-6D242935CFE5}" name="Temps d'utilisation en heure/jour"/>
    <tableColumn id="4" xr3:uid="{938BDA49-4385-4D94-8BBF-7229231F7F2C}" name="Nombre de jour par semaine"/>
    <tableColumn id="5" xr3:uid="{D466CE93-CC62-4354-8DD4-33BE9EE35322}" name="Heure/semaine d'utilisation" dataDxfId="3">
      <calculatedColumnFormula>Tableau1[[#This Row],[Temps d''utilisation en heure/jour]]*Tableau1[[#This Row],[Nombre de jour par semaine]]</calculatedColumnFormula>
    </tableColumn>
    <tableColumn id="6" xr3:uid="{DC3668A3-996F-4CD9-A80A-8AF9195D67AB}" name="Consommation annuelle (kWh)" dataDxfId="2">
      <calculatedColumnFormula>(B13*C13*(D13*52))/1000</calculatedColumnFormula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F130F81E-FA8E-4882-B05E-F94B9F7E182A}" name="Tableau2" displayName="Tableau2" ref="A17:C23" totalsRowShown="0">
  <autoFilter ref="A17:C23" xr:uid="{F130F81E-FA8E-4882-B05E-F94B9F7E182A}"/>
  <tableColumns count="3">
    <tableColumn id="1" xr3:uid="{D66CCBB8-BD3B-4B4C-B02C-06B327D483EC}" name="Poste de dépense"/>
    <tableColumn id="2" xr3:uid="{C8036889-C79C-4981-AFF8-2E9BFBF1B81F}" name="Consommation" dataDxfId="1">
      <calculatedColumnFormula>H10</calculatedColumnFormula>
    </tableColumn>
    <tableColumn id="3" xr3:uid="{B8BC72CC-8FE7-4C6D-BB6B-C845BC6B8FA7}" name="Prix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4"/>
  <sheetViews>
    <sheetView tabSelected="1" topLeftCell="A22" zoomScale="87" zoomScaleNormal="69" workbookViewId="0">
      <selection activeCell="E31" sqref="E31"/>
    </sheetView>
  </sheetViews>
  <sheetFormatPr baseColWidth="10" defaultColWidth="21.6328125" defaultRowHeight="14.5" x14ac:dyDescent="0.35"/>
  <sheetData>
    <row r="1" spans="1:8" x14ac:dyDescent="0.35">
      <c r="A1" s="29"/>
      <c r="B1" s="40" t="s">
        <v>70</v>
      </c>
      <c r="C1" s="40"/>
      <c r="D1" s="40"/>
      <c r="E1" s="35" t="s">
        <v>58</v>
      </c>
      <c r="F1" s="35"/>
    </row>
    <row r="2" spans="1:8" x14ac:dyDescent="0.35">
      <c r="A2" s="29"/>
      <c r="B2" s="40"/>
      <c r="C2" s="40"/>
      <c r="D2" s="40"/>
      <c r="E2" s="34" t="s">
        <v>59</v>
      </c>
      <c r="F2" s="34"/>
      <c r="G2" s="34"/>
      <c r="H2" s="34"/>
    </row>
    <row r="3" spans="1:8" ht="14.5" customHeight="1" x14ac:dyDescent="0.35">
      <c r="A3" s="29"/>
      <c r="B3" s="40"/>
      <c r="C3" s="40"/>
      <c r="D3" s="40"/>
      <c r="E3" s="34"/>
      <c r="F3" s="34"/>
      <c r="G3" s="34"/>
      <c r="H3" s="34"/>
    </row>
    <row r="4" spans="1:8" x14ac:dyDescent="0.35">
      <c r="A4" s="29"/>
      <c r="B4" s="40"/>
      <c r="C4" s="40"/>
      <c r="D4" s="40"/>
      <c r="E4" s="34"/>
      <c r="F4" s="34"/>
      <c r="G4" s="34"/>
      <c r="H4" s="34"/>
    </row>
    <row r="5" spans="1:8" ht="14.5" customHeight="1" x14ac:dyDescent="0.35">
      <c r="A5" s="29"/>
      <c r="B5" s="40"/>
      <c r="C5" s="40"/>
      <c r="D5" s="40"/>
      <c r="E5" s="34"/>
      <c r="F5" s="34"/>
      <c r="G5" s="34"/>
      <c r="H5" s="34"/>
    </row>
    <row r="6" spans="1:8" x14ac:dyDescent="0.35">
      <c r="A6" s="29"/>
      <c r="B6" s="40"/>
      <c r="C6" s="40"/>
      <c r="D6" s="40"/>
      <c r="E6" s="34"/>
      <c r="F6" s="34"/>
      <c r="G6" s="34"/>
      <c r="H6" s="34"/>
    </row>
    <row r="8" spans="1:8" x14ac:dyDescent="0.35">
      <c r="A8" s="36" t="s">
        <v>13</v>
      </c>
      <c r="B8" s="36"/>
      <c r="C8" s="36"/>
    </row>
    <row r="9" spans="1:8" x14ac:dyDescent="0.35">
      <c r="A9" s="36"/>
      <c r="B9" s="36"/>
      <c r="C9" s="36"/>
      <c r="D9" s="11" t="s">
        <v>26</v>
      </c>
    </row>
    <row r="11" spans="1:8" x14ac:dyDescent="0.35">
      <c r="A11" s="37" t="s">
        <v>48</v>
      </c>
      <c r="B11" s="37"/>
    </row>
    <row r="12" spans="1:8" x14ac:dyDescent="0.35">
      <c r="A12" s="13" t="s">
        <v>2</v>
      </c>
      <c r="B12" s="14">
        <v>40</v>
      </c>
    </row>
    <row r="13" spans="1:8" x14ac:dyDescent="0.35">
      <c r="A13" s="13" t="s">
        <v>3</v>
      </c>
      <c r="B13" s="14">
        <v>2</v>
      </c>
    </row>
    <row r="14" spans="1:8" x14ac:dyDescent="0.35">
      <c r="A14" s="13" t="s">
        <v>4</v>
      </c>
      <c r="B14" s="25" t="s">
        <v>11</v>
      </c>
    </row>
    <row r="15" spans="1:8" x14ac:dyDescent="0.35">
      <c r="A15" s="13" t="s">
        <v>5</v>
      </c>
      <c r="B15" s="25" t="s">
        <v>7</v>
      </c>
    </row>
    <row r="16" spans="1:8" x14ac:dyDescent="0.35">
      <c r="A16" s="13" t="s">
        <v>39</v>
      </c>
      <c r="B16" s="25" t="s">
        <v>41</v>
      </c>
    </row>
    <row r="17" spans="1:4" x14ac:dyDescent="0.35">
      <c r="A17" s="13" t="s">
        <v>73</v>
      </c>
      <c r="B17" s="25" t="s">
        <v>72</v>
      </c>
    </row>
    <row r="19" spans="1:4" x14ac:dyDescent="0.35">
      <c r="A19" s="37" t="s">
        <v>46</v>
      </c>
      <c r="B19" s="37"/>
      <c r="C19" s="38" t="s">
        <v>47</v>
      </c>
      <c r="D19" s="39"/>
    </row>
    <row r="20" spans="1:4" x14ac:dyDescent="0.35">
      <c r="A20" s="13" t="s">
        <v>38</v>
      </c>
      <c r="B20" s="26">
        <f>Calculs!H6+IF(B15="Tout électrique",Calculs!H10+Calculs!H11,0)+IF(B17="Electrique",'Base de données'!O15,0)</f>
        <v>4065.3600000000006</v>
      </c>
      <c r="C20" s="21" t="s">
        <v>38</v>
      </c>
      <c r="D20" s="26">
        <f>IF(B15="Electrique et gaz", Calculs!H10+Calculs!H11, "N/A")+IF(B17="Gaz",'Base de données'!O15,0)</f>
        <v>3800</v>
      </c>
    </row>
    <row r="21" spans="1:4" x14ac:dyDescent="0.35">
      <c r="A21" s="13" t="s">
        <v>0</v>
      </c>
      <c r="B21" s="26">
        <f>IF(B16="HP/HC", B20*0.6, "N/A")</f>
        <v>2439.2160000000003</v>
      </c>
    </row>
    <row r="22" spans="1:4" x14ac:dyDescent="0.35">
      <c r="A22" s="13" t="s">
        <v>1</v>
      </c>
      <c r="B22" s="26">
        <f>IF(B16="HP/HC", B20*0.4, "N/A")</f>
        <v>1626.1440000000002</v>
      </c>
    </row>
    <row r="23" spans="1:4" x14ac:dyDescent="0.35">
      <c r="A23" s="13" t="s">
        <v>54</v>
      </c>
      <c r="B23" s="26">
        <f>IF(B16="Normal", B20*Tarifs!B11+Tarifs!B14, (B21*Tarifs!B12)+(B22*Tarifs!B13)+Tarifs!B14)</f>
        <v>923.47539360000019</v>
      </c>
      <c r="C23" s="13" t="s">
        <v>55</v>
      </c>
      <c r="D23" s="27">
        <f>IF(B15="Electrique et gaz", D20*Tarifs!D11+Tarifs!D14, 0)</f>
        <v>647.09999999999991</v>
      </c>
    </row>
    <row r="24" spans="1:4" x14ac:dyDescent="0.35">
      <c r="A24" s="13" t="s">
        <v>56</v>
      </c>
      <c r="B24" s="26">
        <f>B23/12</f>
        <v>76.956282800000011</v>
      </c>
      <c r="C24" s="13" t="s">
        <v>57</v>
      </c>
      <c r="D24" s="27">
        <f>D23/12</f>
        <v>53.92499999999999</v>
      </c>
    </row>
  </sheetData>
  <mergeCells count="7">
    <mergeCell ref="E2:H6"/>
    <mergeCell ref="E1:F1"/>
    <mergeCell ref="A8:C9"/>
    <mergeCell ref="A19:B19"/>
    <mergeCell ref="C19:D19"/>
    <mergeCell ref="A11:B11"/>
    <mergeCell ref="B1:D6"/>
  </mergeCells>
  <pageMargins left="0.7" right="0.7" top="0.75" bottom="0.75" header="0.3" footer="0.3"/>
  <pageSetup paperSize="9" orientation="portrait" r:id="rId1"/>
  <drawing r:id="rId2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B831B6BB-9DB7-4780-B5EC-93B08AFC8FA3}">
          <x14:formula1>
            <xm:f>'Base de données'!$K$8:$K$9</xm:f>
          </x14:formula1>
          <xm:sqref>B15</xm:sqref>
        </x14:dataValidation>
        <x14:dataValidation type="list" allowBlank="1" showInputMessage="1" showErrorMessage="1" xr:uid="{E3860D18-7B87-47BE-B7B2-DBCDE431886C}">
          <x14:formula1>
            <xm:f>'Base de données'!$J$8:$J$10</xm:f>
          </x14:formula1>
          <xm:sqref>B14</xm:sqref>
        </x14:dataValidation>
        <x14:dataValidation type="list" allowBlank="1" showInputMessage="1" showErrorMessage="1" xr:uid="{88A788E3-2645-4E7E-B6C3-E8FE1BC0CAA2}">
          <x14:formula1>
            <xm:f>'Base de données'!$N$8:$N$9</xm:f>
          </x14:formula1>
          <xm:sqref>B16</xm:sqref>
        </x14:dataValidation>
        <x14:dataValidation type="list" allowBlank="1" showInputMessage="1" showErrorMessage="1" xr:uid="{BDF8EE7D-69FD-4CA6-B463-AEA9F85FC88F}">
          <x14:formula1>
            <xm:f>'Base de données'!$O$8:$O$9</xm:f>
          </x14:formula1>
          <xm:sqref>B17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63E985-9056-46D6-8EB1-10B18490B217}">
  <dimension ref="A1:P248"/>
  <sheetViews>
    <sheetView zoomScale="59" zoomScaleNormal="89" zoomScalePageLayoutView="42" workbookViewId="0">
      <selection activeCell="G18" sqref="G18"/>
    </sheetView>
  </sheetViews>
  <sheetFormatPr baseColWidth="10" defaultColWidth="23.7265625" defaultRowHeight="14.5" x14ac:dyDescent="0.35"/>
  <cols>
    <col min="1" max="1" width="23.7265625" customWidth="1"/>
    <col min="3" max="3" width="23.7265625" customWidth="1"/>
  </cols>
  <sheetData>
    <row r="1" spans="1:16" ht="14.5" customHeight="1" x14ac:dyDescent="0.35">
      <c r="A1" s="30"/>
      <c r="B1" s="46" t="s">
        <v>70</v>
      </c>
      <c r="C1" s="46"/>
      <c r="D1" s="46"/>
      <c r="E1" s="46"/>
      <c r="F1" s="46"/>
    </row>
    <row r="2" spans="1:16" ht="14.5" customHeight="1" x14ac:dyDescent="0.35">
      <c r="A2" s="30"/>
      <c r="B2" s="46"/>
      <c r="C2" s="46"/>
      <c r="D2" s="46"/>
      <c r="E2" s="46"/>
      <c r="F2" s="46"/>
    </row>
    <row r="3" spans="1:16" ht="14.5" customHeight="1" x14ac:dyDescent="0.35">
      <c r="A3" s="30"/>
      <c r="B3" s="46"/>
      <c r="C3" s="46"/>
      <c r="D3" s="46"/>
      <c r="E3" s="46"/>
      <c r="F3" s="46"/>
    </row>
    <row r="4" spans="1:16" ht="14.5" customHeight="1" x14ac:dyDescent="0.35">
      <c r="A4" s="30"/>
      <c r="B4" s="46"/>
      <c r="C4" s="46"/>
      <c r="D4" s="46"/>
      <c r="E4" s="46"/>
      <c r="F4" s="46"/>
    </row>
    <row r="5" spans="1:16" ht="15" customHeight="1" x14ac:dyDescent="0.35">
      <c r="A5" s="30"/>
      <c r="B5" s="46"/>
      <c r="C5" s="46"/>
      <c r="D5" s="46"/>
      <c r="E5" s="46"/>
      <c r="F5" s="46"/>
      <c r="J5" s="41" t="s">
        <v>8</v>
      </c>
      <c r="K5" s="42"/>
      <c r="L5" s="42"/>
      <c r="M5" s="3"/>
      <c r="N5" s="3"/>
      <c r="O5" s="3"/>
      <c r="P5" s="4"/>
    </row>
    <row r="6" spans="1:16" ht="12.5" customHeight="1" x14ac:dyDescent="0.35">
      <c r="A6" s="30"/>
      <c r="B6" s="46"/>
      <c r="C6" s="46"/>
      <c r="D6" s="46"/>
      <c r="E6" s="46"/>
      <c r="F6" s="46"/>
      <c r="J6" s="5"/>
      <c r="P6" s="6"/>
    </row>
    <row r="7" spans="1:16" ht="24" customHeight="1" x14ac:dyDescent="0.35">
      <c r="A7" s="45" t="s">
        <v>33</v>
      </c>
      <c r="B7" s="45"/>
      <c r="C7" s="45"/>
      <c r="D7" s="45"/>
      <c r="E7" s="45"/>
      <c r="F7" s="45"/>
      <c r="J7" s="10" t="s">
        <v>9</v>
      </c>
      <c r="K7" s="12" t="s">
        <v>5</v>
      </c>
      <c r="L7" s="18" t="s">
        <v>31</v>
      </c>
      <c r="M7" s="18" t="s">
        <v>30</v>
      </c>
      <c r="N7" s="18" t="s">
        <v>39</v>
      </c>
      <c r="O7" s="18" t="s">
        <v>74</v>
      </c>
      <c r="P7" s="18"/>
    </row>
    <row r="8" spans="1:16" ht="24" customHeight="1" x14ac:dyDescent="0.35">
      <c r="A8" s="45"/>
      <c r="B8" s="45"/>
      <c r="C8" s="45"/>
      <c r="D8" s="45"/>
      <c r="E8" s="45"/>
      <c r="F8" s="45"/>
      <c r="J8" s="5" t="s">
        <v>10</v>
      </c>
      <c r="K8" t="s">
        <v>6</v>
      </c>
      <c r="L8">
        <v>0</v>
      </c>
      <c r="M8">
        <v>0</v>
      </c>
      <c r="N8" t="s">
        <v>40</v>
      </c>
      <c r="O8" t="s">
        <v>72</v>
      </c>
      <c r="P8" s="6"/>
    </row>
    <row r="9" spans="1:16" ht="24" customHeight="1" x14ac:dyDescent="0.35">
      <c r="A9" s="2"/>
      <c r="B9" s="2"/>
      <c r="C9" s="2"/>
      <c r="D9" s="2"/>
      <c r="E9" s="2"/>
      <c r="J9" s="5" t="s">
        <v>12</v>
      </c>
      <c r="K9" t="s">
        <v>7</v>
      </c>
      <c r="L9">
        <v>0.1</v>
      </c>
      <c r="M9">
        <v>1</v>
      </c>
      <c r="N9" t="s">
        <v>41</v>
      </c>
      <c r="O9" t="s">
        <v>47</v>
      </c>
      <c r="P9" s="6"/>
    </row>
    <row r="10" spans="1:16" ht="24" customHeight="1" x14ac:dyDescent="0.35">
      <c r="A10" s="43" t="s">
        <v>82</v>
      </c>
      <c r="B10" s="43"/>
      <c r="C10" s="43"/>
      <c r="D10" s="43"/>
      <c r="E10" s="43"/>
      <c r="F10" s="43"/>
      <c r="J10" s="5" t="s">
        <v>11</v>
      </c>
      <c r="L10">
        <v>0.2</v>
      </c>
      <c r="M10">
        <v>2</v>
      </c>
      <c r="P10" s="6"/>
    </row>
    <row r="11" spans="1:16" ht="24" customHeight="1" thickBot="1" x14ac:dyDescent="0.4">
      <c r="A11" s="44"/>
      <c r="B11" s="44"/>
      <c r="C11" s="44"/>
      <c r="D11" s="44"/>
      <c r="E11" s="44"/>
      <c r="F11" s="44"/>
      <c r="J11" s="5"/>
      <c r="L11">
        <v>0.3</v>
      </c>
      <c r="M11">
        <v>3</v>
      </c>
      <c r="O11">
        <v>2000</v>
      </c>
      <c r="P11" s="6" t="s">
        <v>75</v>
      </c>
    </row>
    <row r="12" spans="1:16" ht="24" customHeight="1" thickBot="1" x14ac:dyDescent="0.4">
      <c r="A12" s="19" t="s">
        <v>14</v>
      </c>
      <c r="B12" s="19" t="s">
        <v>15</v>
      </c>
      <c r="C12" s="19" t="s">
        <v>29</v>
      </c>
      <c r="D12" s="19" t="s">
        <v>30</v>
      </c>
      <c r="E12" s="1" t="s">
        <v>32</v>
      </c>
      <c r="F12" s="1" t="s">
        <v>37</v>
      </c>
      <c r="J12" s="5"/>
      <c r="L12">
        <v>0.4</v>
      </c>
      <c r="M12">
        <v>4</v>
      </c>
      <c r="O12">
        <v>0.5</v>
      </c>
      <c r="P12" s="6" t="s">
        <v>76</v>
      </c>
    </row>
    <row r="13" spans="1:16" ht="24" customHeight="1" thickBot="1" x14ac:dyDescent="0.4">
      <c r="A13" s="1" t="s">
        <v>16</v>
      </c>
      <c r="B13" s="1">
        <v>150</v>
      </c>
      <c r="C13" s="1">
        <v>24</v>
      </c>
      <c r="D13" s="1">
        <v>7</v>
      </c>
      <c r="E13" s="1">
        <f>Tableau1[[#This Row],[Temps d''utilisation en heure/jour]]*Tableau1[[#This Row],[Nombre de jour par semaine]]</f>
        <v>168</v>
      </c>
      <c r="F13" s="1">
        <f t="shared" ref="F13:F25" si="0">(B13*C13*(D13*52))/1000</f>
        <v>1310.4000000000001</v>
      </c>
      <c r="J13" s="5"/>
      <c r="L13">
        <v>0.5</v>
      </c>
      <c r="M13">
        <v>5</v>
      </c>
      <c r="O13">
        <v>7</v>
      </c>
      <c r="P13" s="6" t="s">
        <v>77</v>
      </c>
    </row>
    <row r="14" spans="1:16" ht="24" customHeight="1" thickBot="1" x14ac:dyDescent="0.4">
      <c r="A14" s="1" t="s">
        <v>17</v>
      </c>
      <c r="B14" s="1">
        <v>2000</v>
      </c>
      <c r="C14" s="1">
        <v>1.5</v>
      </c>
      <c r="D14" s="1">
        <v>4</v>
      </c>
      <c r="E14" s="1">
        <f>Tableau1[[#This Row],[Temps d''utilisation en heure/jour]]*Tableau1[[#This Row],[Nombre de jour par semaine]]</f>
        <v>6</v>
      </c>
      <c r="F14" s="1">
        <f t="shared" si="0"/>
        <v>624</v>
      </c>
      <c r="J14" s="5"/>
      <c r="L14">
        <v>0.6</v>
      </c>
      <c r="M14">
        <v>6</v>
      </c>
      <c r="O14">
        <f>O12*O13</f>
        <v>3.5</v>
      </c>
      <c r="P14" s="6" t="s">
        <v>78</v>
      </c>
    </row>
    <row r="15" spans="1:16" ht="24" customHeight="1" thickBot="1" x14ac:dyDescent="0.4">
      <c r="A15" s="1" t="s">
        <v>22</v>
      </c>
      <c r="B15" s="1">
        <v>2500</v>
      </c>
      <c r="C15" s="1">
        <v>1.5</v>
      </c>
      <c r="D15" s="1">
        <v>2</v>
      </c>
      <c r="E15" s="1">
        <f>Tableau1[[#This Row],[Temps d''utilisation en heure/jour]]*Tableau1[[#This Row],[Nombre de jour par semaine]]</f>
        <v>3</v>
      </c>
      <c r="F15" s="1">
        <f t="shared" si="0"/>
        <v>390</v>
      </c>
      <c r="J15" s="5"/>
      <c r="L15">
        <v>0.7</v>
      </c>
      <c r="M15">
        <v>7</v>
      </c>
      <c r="O15">
        <f>(O11*O12*(O13*52))/1000</f>
        <v>364</v>
      </c>
      <c r="P15" s="6" t="s">
        <v>79</v>
      </c>
    </row>
    <row r="16" spans="1:16" ht="24" customHeight="1" thickBot="1" x14ac:dyDescent="0.4">
      <c r="A16" s="1" t="s">
        <v>18</v>
      </c>
      <c r="B16" s="1">
        <v>1200</v>
      </c>
      <c r="C16" s="1">
        <v>1.5</v>
      </c>
      <c r="D16" s="1">
        <v>5</v>
      </c>
      <c r="E16" s="1">
        <f>Tableau1[[#This Row],[Temps d''utilisation en heure/jour]]*Tableau1[[#This Row],[Nombre de jour par semaine]]</f>
        <v>7.5</v>
      </c>
      <c r="F16" s="1">
        <f t="shared" si="0"/>
        <v>468</v>
      </c>
      <c r="J16" s="5"/>
      <c r="L16">
        <v>0.8</v>
      </c>
      <c r="P16" s="6"/>
    </row>
    <row r="17" spans="1:16" ht="24" customHeight="1" thickBot="1" x14ac:dyDescent="0.4">
      <c r="A17" s="1" t="s">
        <v>23</v>
      </c>
      <c r="B17" s="1">
        <v>1000</v>
      </c>
      <c r="C17" s="1">
        <v>0.2</v>
      </c>
      <c r="D17" s="1">
        <v>5</v>
      </c>
      <c r="E17" s="1">
        <f>Tableau1[[#This Row],[Temps d''utilisation en heure/jour]]*Tableau1[[#This Row],[Nombre de jour par semaine]]</f>
        <v>1</v>
      </c>
      <c r="F17" s="1">
        <f t="shared" si="0"/>
        <v>52</v>
      </c>
      <c r="J17" s="5"/>
      <c r="L17">
        <v>0.9</v>
      </c>
      <c r="P17" s="6"/>
    </row>
    <row r="18" spans="1:16" ht="24" customHeight="1" thickBot="1" x14ac:dyDescent="0.4">
      <c r="A18" s="1" t="s">
        <v>19</v>
      </c>
      <c r="B18" s="1">
        <v>2500</v>
      </c>
      <c r="C18" s="1">
        <v>1</v>
      </c>
      <c r="D18" s="1">
        <v>2</v>
      </c>
      <c r="E18" s="1">
        <f>Tableau1[[#This Row],[Temps d''utilisation en heure/jour]]*Tableau1[[#This Row],[Nombre de jour par semaine]]</f>
        <v>2</v>
      </c>
      <c r="F18" s="1">
        <f t="shared" si="0"/>
        <v>260</v>
      </c>
      <c r="J18" s="5"/>
      <c r="L18">
        <v>1</v>
      </c>
      <c r="P18" s="6"/>
    </row>
    <row r="19" spans="1:16" ht="24" customHeight="1" thickBot="1" x14ac:dyDescent="0.4">
      <c r="A19" s="1" t="s">
        <v>35</v>
      </c>
      <c r="B19" s="1">
        <v>2000</v>
      </c>
      <c r="C19" s="1">
        <v>0.1</v>
      </c>
      <c r="D19" s="1">
        <v>7</v>
      </c>
      <c r="E19" s="1">
        <f>Tableau1[[#This Row],[Temps d''utilisation en heure/jour]]*Tableau1[[#This Row],[Nombre de jour par semaine]]</f>
        <v>0.70000000000000007</v>
      </c>
      <c r="F19" s="1">
        <f t="shared" si="0"/>
        <v>72.8</v>
      </c>
      <c r="J19" s="5"/>
      <c r="L19">
        <v>1.1000000000000001</v>
      </c>
      <c r="P19" s="6"/>
    </row>
    <row r="20" spans="1:16" ht="24" customHeight="1" thickBot="1" x14ac:dyDescent="0.4">
      <c r="A20" s="1" t="s">
        <v>20</v>
      </c>
      <c r="B20" s="1">
        <v>100</v>
      </c>
      <c r="C20" s="1">
        <v>4</v>
      </c>
      <c r="D20" s="1">
        <v>5</v>
      </c>
      <c r="E20" s="1">
        <f>Tableau1[[#This Row],[Temps d''utilisation en heure/jour]]*Tableau1[[#This Row],[Nombre de jour par semaine]]</f>
        <v>20</v>
      </c>
      <c r="F20" s="1">
        <f>(B20*C20*(D20*52))/1000</f>
        <v>104</v>
      </c>
      <c r="J20" s="7"/>
      <c r="K20" s="8"/>
      <c r="L20">
        <v>1.2</v>
      </c>
      <c r="M20" s="8"/>
      <c r="N20" s="8"/>
      <c r="O20" s="8"/>
      <c r="P20" s="9"/>
    </row>
    <row r="21" spans="1:16" ht="24" customHeight="1" thickBot="1" x14ac:dyDescent="0.4">
      <c r="A21" s="1" t="s">
        <v>25</v>
      </c>
      <c r="B21" s="1">
        <v>90</v>
      </c>
      <c r="C21" s="1">
        <v>5</v>
      </c>
      <c r="D21" s="1">
        <v>7</v>
      </c>
      <c r="E21" s="1">
        <f>Tableau1[[#This Row],[Temps d''utilisation en heure/jour]]*Tableau1[[#This Row],[Nombre de jour par semaine]]</f>
        <v>35</v>
      </c>
      <c r="F21" s="1">
        <f t="shared" si="0"/>
        <v>163.80000000000001</v>
      </c>
      <c r="L21">
        <v>1.3</v>
      </c>
    </row>
    <row r="22" spans="1:16" ht="24" customHeight="1" thickBot="1" x14ac:dyDescent="0.4">
      <c r="A22" s="1" t="s">
        <v>21</v>
      </c>
      <c r="B22" s="1">
        <v>60</v>
      </c>
      <c r="C22" s="1">
        <v>6</v>
      </c>
      <c r="D22" s="1">
        <v>5</v>
      </c>
      <c r="E22" s="1">
        <f>Tableau1[[#This Row],[Temps d''utilisation en heure/jour]]*Tableau1[[#This Row],[Nombre de jour par semaine]]</f>
        <v>30</v>
      </c>
      <c r="F22" s="1">
        <f t="shared" si="0"/>
        <v>93.6</v>
      </c>
      <c r="L22">
        <v>1.4</v>
      </c>
    </row>
    <row r="23" spans="1:16" ht="24" customHeight="1" thickBot="1" x14ac:dyDescent="0.4">
      <c r="A23" s="1" t="s">
        <v>24</v>
      </c>
      <c r="B23" s="1">
        <v>10</v>
      </c>
      <c r="C23" s="1">
        <v>24</v>
      </c>
      <c r="D23" s="1">
        <v>7</v>
      </c>
      <c r="E23" s="1">
        <f>Tableau1[[#This Row],[Temps d''utilisation en heure/jour]]*Tableau1[[#This Row],[Nombre de jour par semaine]]</f>
        <v>168</v>
      </c>
      <c r="F23" s="1">
        <f t="shared" si="0"/>
        <v>87.36</v>
      </c>
      <c r="L23">
        <v>1.5</v>
      </c>
    </row>
    <row r="24" spans="1:16" ht="24" customHeight="1" thickBot="1" x14ac:dyDescent="0.4">
      <c r="A24" s="1" t="s">
        <v>34</v>
      </c>
      <c r="B24" s="1">
        <v>800</v>
      </c>
      <c r="C24" s="1">
        <v>0.5</v>
      </c>
      <c r="D24" s="1">
        <v>1</v>
      </c>
      <c r="E24" s="1">
        <f>Tableau1[[#This Row],[Temps d''utilisation en heure/jour]]*Tableau1[[#This Row],[Nombre de jour par semaine]]</f>
        <v>0.5</v>
      </c>
      <c r="F24" s="1">
        <f t="shared" si="0"/>
        <v>20.8</v>
      </c>
      <c r="L24">
        <v>1.6</v>
      </c>
    </row>
    <row r="25" spans="1:16" ht="24" customHeight="1" thickBot="1" x14ac:dyDescent="0.4">
      <c r="A25" s="1" t="s">
        <v>36</v>
      </c>
      <c r="B25" s="1">
        <v>1500</v>
      </c>
      <c r="C25" s="1">
        <v>0.1</v>
      </c>
      <c r="D25" s="1">
        <v>7</v>
      </c>
      <c r="E25" s="1">
        <f>Tableau1[[#This Row],[Temps d''utilisation en heure/jour]]*Tableau1[[#This Row],[Nombre de jour par semaine]]</f>
        <v>0.70000000000000007</v>
      </c>
      <c r="F25" s="1">
        <f t="shared" si="0"/>
        <v>54.6</v>
      </c>
      <c r="L25">
        <v>1.7</v>
      </c>
    </row>
    <row r="26" spans="1:16" ht="24" customHeight="1" thickBot="1" x14ac:dyDescent="0.4">
      <c r="A26" s="1"/>
      <c r="B26" s="1"/>
      <c r="C26" s="1"/>
      <c r="D26" s="1"/>
      <c r="E26" s="1">
        <f>Tableau1[[#This Row],[Temps d''utilisation en heure/jour]]*Tableau1[[#This Row],[Nombre de jour par semaine]]</f>
        <v>0</v>
      </c>
      <c r="F26" s="1">
        <f t="shared" ref="F26:F27" si="1">(B26*C26*(D26*52))/1000</f>
        <v>0</v>
      </c>
      <c r="L26">
        <v>1.8</v>
      </c>
    </row>
    <row r="27" spans="1:16" ht="24" customHeight="1" thickBot="1" x14ac:dyDescent="0.4">
      <c r="A27" s="1"/>
      <c r="B27" s="1"/>
      <c r="C27" s="1"/>
      <c r="D27" s="1"/>
      <c r="E27" s="1">
        <f>Tableau1[[#This Row],[Temps d''utilisation en heure/jour]]*Tableau1[[#This Row],[Nombre de jour par semaine]]</f>
        <v>0</v>
      </c>
      <c r="F27" s="1">
        <f t="shared" si="1"/>
        <v>0</v>
      </c>
      <c r="L27">
        <v>1.9</v>
      </c>
    </row>
    <row r="28" spans="1:16" ht="24" customHeight="1" thickBot="1" x14ac:dyDescent="0.4">
      <c r="A28" s="1"/>
      <c r="B28" s="1"/>
      <c r="C28" s="1"/>
      <c r="D28" s="1"/>
      <c r="E28" s="1">
        <f>Tableau1[[#This Row],[Temps d''utilisation en heure/jour]]*Tableau1[[#This Row],[Nombre de jour par semaine]]</f>
        <v>0</v>
      </c>
      <c r="F28" s="1">
        <f t="shared" ref="F28:F48" si="2">(B28*C28*(D28*52))/1000</f>
        <v>0</v>
      </c>
      <c r="L28">
        <v>2</v>
      </c>
    </row>
    <row r="29" spans="1:16" ht="24" customHeight="1" thickBot="1" x14ac:dyDescent="0.4">
      <c r="A29" s="1"/>
      <c r="B29" s="1"/>
      <c r="C29" s="1"/>
      <c r="D29" s="1"/>
      <c r="E29" s="1">
        <f>Tableau1[[#This Row],[Temps d''utilisation en heure/jour]]*Tableau1[[#This Row],[Nombre de jour par semaine]]</f>
        <v>0</v>
      </c>
      <c r="F29" s="1">
        <f t="shared" si="2"/>
        <v>0</v>
      </c>
      <c r="L29">
        <v>2.1</v>
      </c>
    </row>
    <row r="30" spans="1:16" ht="24" customHeight="1" thickBot="1" x14ac:dyDescent="0.4">
      <c r="A30" s="1"/>
      <c r="B30" s="1"/>
      <c r="C30" s="1"/>
      <c r="D30" s="1"/>
      <c r="E30" s="1">
        <f>Tableau1[[#This Row],[Temps d''utilisation en heure/jour]]*Tableau1[[#This Row],[Nombre de jour par semaine]]</f>
        <v>0</v>
      </c>
      <c r="F30" s="1">
        <f t="shared" si="2"/>
        <v>0</v>
      </c>
      <c r="L30">
        <v>2.2000000000000002</v>
      </c>
    </row>
    <row r="31" spans="1:16" ht="24" customHeight="1" thickBot="1" x14ac:dyDescent="0.4">
      <c r="A31" s="1"/>
      <c r="B31" s="1"/>
      <c r="C31" s="1"/>
      <c r="D31" s="1"/>
      <c r="E31" s="1">
        <f>Tableau1[[#This Row],[Temps d''utilisation en heure/jour]]*Tableau1[[#This Row],[Nombre de jour par semaine]]</f>
        <v>0</v>
      </c>
      <c r="F31" s="1">
        <f t="shared" si="2"/>
        <v>0</v>
      </c>
      <c r="L31">
        <v>2.2999999999999998</v>
      </c>
    </row>
    <row r="32" spans="1:16" ht="24" customHeight="1" thickBot="1" x14ac:dyDescent="0.4">
      <c r="A32" s="1"/>
      <c r="B32" s="1"/>
      <c r="C32" s="1"/>
      <c r="D32" s="1"/>
      <c r="E32" s="1">
        <f>Tableau1[[#This Row],[Temps d''utilisation en heure/jour]]*Tableau1[[#This Row],[Nombre de jour par semaine]]</f>
        <v>0</v>
      </c>
      <c r="F32" s="1">
        <f t="shared" si="2"/>
        <v>0</v>
      </c>
      <c r="L32">
        <v>2.4</v>
      </c>
    </row>
    <row r="33" spans="1:12" ht="24" customHeight="1" thickBot="1" x14ac:dyDescent="0.4">
      <c r="A33" s="1"/>
      <c r="B33" s="1"/>
      <c r="C33" s="1"/>
      <c r="D33" s="1"/>
      <c r="E33" s="1">
        <f>Tableau1[[#This Row],[Temps d''utilisation en heure/jour]]*Tableau1[[#This Row],[Nombre de jour par semaine]]</f>
        <v>0</v>
      </c>
      <c r="F33" s="1">
        <f t="shared" si="2"/>
        <v>0</v>
      </c>
      <c r="L33">
        <v>2.5</v>
      </c>
    </row>
    <row r="34" spans="1:12" ht="24" customHeight="1" thickBot="1" x14ac:dyDescent="0.4">
      <c r="A34" s="1"/>
      <c r="B34" s="1"/>
      <c r="C34" s="1"/>
      <c r="D34" s="1"/>
      <c r="E34" s="1">
        <f>Tableau1[[#This Row],[Temps d''utilisation en heure/jour]]*Tableau1[[#This Row],[Nombre de jour par semaine]]</f>
        <v>0</v>
      </c>
      <c r="F34" s="1">
        <f t="shared" si="2"/>
        <v>0</v>
      </c>
      <c r="L34">
        <v>2.6</v>
      </c>
    </row>
    <row r="35" spans="1:12" ht="24" customHeight="1" thickBot="1" x14ac:dyDescent="0.4">
      <c r="A35" s="1"/>
      <c r="B35" s="1"/>
      <c r="C35" s="1"/>
      <c r="D35" s="1"/>
      <c r="E35" s="1">
        <f>Tableau1[[#This Row],[Temps d''utilisation en heure/jour]]*Tableau1[[#This Row],[Nombre de jour par semaine]]</f>
        <v>0</v>
      </c>
      <c r="F35" s="1">
        <f t="shared" si="2"/>
        <v>0</v>
      </c>
      <c r="L35">
        <v>2.7</v>
      </c>
    </row>
    <row r="36" spans="1:12" ht="24" customHeight="1" thickBot="1" x14ac:dyDescent="0.4">
      <c r="A36" s="1"/>
      <c r="B36" s="1"/>
      <c r="C36" s="1"/>
      <c r="D36" s="1"/>
      <c r="E36" s="1">
        <f>Tableau1[[#This Row],[Temps d''utilisation en heure/jour]]*Tableau1[[#This Row],[Nombre de jour par semaine]]</f>
        <v>0</v>
      </c>
      <c r="F36" s="1">
        <f t="shared" si="2"/>
        <v>0</v>
      </c>
      <c r="L36">
        <v>2.8</v>
      </c>
    </row>
    <row r="37" spans="1:12" ht="24" customHeight="1" thickBot="1" x14ac:dyDescent="0.4">
      <c r="A37" s="1"/>
      <c r="B37" s="1"/>
      <c r="C37" s="1"/>
      <c r="D37" s="1"/>
      <c r="E37" s="1">
        <f>Tableau1[[#This Row],[Temps d''utilisation en heure/jour]]*Tableau1[[#This Row],[Nombre de jour par semaine]]</f>
        <v>0</v>
      </c>
      <c r="F37" s="1">
        <f t="shared" si="2"/>
        <v>0</v>
      </c>
      <c r="L37">
        <v>2.9</v>
      </c>
    </row>
    <row r="38" spans="1:12" ht="24" customHeight="1" thickBot="1" x14ac:dyDescent="0.4">
      <c r="A38" s="1"/>
      <c r="B38" s="1"/>
      <c r="C38" s="1"/>
      <c r="D38" s="1"/>
      <c r="E38" s="1">
        <f>Tableau1[[#This Row],[Temps d''utilisation en heure/jour]]*Tableau1[[#This Row],[Nombre de jour par semaine]]</f>
        <v>0</v>
      </c>
      <c r="F38" s="1">
        <f t="shared" si="2"/>
        <v>0</v>
      </c>
      <c r="L38">
        <v>3</v>
      </c>
    </row>
    <row r="39" spans="1:12" ht="24" customHeight="1" thickBot="1" x14ac:dyDescent="0.4">
      <c r="A39" s="1"/>
      <c r="B39" s="1"/>
      <c r="C39" s="1"/>
      <c r="D39" s="1"/>
      <c r="E39" s="1">
        <f>Tableau1[[#This Row],[Temps d''utilisation en heure/jour]]*Tableau1[[#This Row],[Nombre de jour par semaine]]</f>
        <v>0</v>
      </c>
      <c r="F39" s="1">
        <f t="shared" si="2"/>
        <v>0</v>
      </c>
      <c r="L39">
        <v>3.1</v>
      </c>
    </row>
    <row r="40" spans="1:12" ht="24" customHeight="1" thickBot="1" x14ac:dyDescent="0.4">
      <c r="A40" s="1"/>
      <c r="B40" s="1"/>
      <c r="C40" s="1"/>
      <c r="D40" s="1"/>
      <c r="E40" s="1">
        <f>Tableau1[[#This Row],[Temps d''utilisation en heure/jour]]*Tableau1[[#This Row],[Nombre de jour par semaine]]</f>
        <v>0</v>
      </c>
      <c r="F40" s="1">
        <f t="shared" si="2"/>
        <v>0</v>
      </c>
      <c r="L40">
        <v>3.2</v>
      </c>
    </row>
    <row r="41" spans="1:12" ht="24" customHeight="1" thickBot="1" x14ac:dyDescent="0.4">
      <c r="A41" s="1"/>
      <c r="B41" s="1"/>
      <c r="C41" s="1"/>
      <c r="D41" s="1"/>
      <c r="E41" s="1">
        <f>Tableau1[[#This Row],[Temps d''utilisation en heure/jour]]*Tableau1[[#This Row],[Nombre de jour par semaine]]</f>
        <v>0</v>
      </c>
      <c r="F41" s="1">
        <f t="shared" si="2"/>
        <v>0</v>
      </c>
      <c r="L41">
        <v>3.3</v>
      </c>
    </row>
    <row r="42" spans="1:12" ht="24" customHeight="1" thickBot="1" x14ac:dyDescent="0.4">
      <c r="A42" s="1"/>
      <c r="B42" s="1"/>
      <c r="C42" s="1"/>
      <c r="D42" s="1"/>
      <c r="E42" s="1">
        <f>Tableau1[[#This Row],[Temps d''utilisation en heure/jour]]*Tableau1[[#This Row],[Nombre de jour par semaine]]</f>
        <v>0</v>
      </c>
      <c r="F42" s="1">
        <f t="shared" si="2"/>
        <v>0</v>
      </c>
      <c r="L42">
        <v>3.4</v>
      </c>
    </row>
    <row r="43" spans="1:12" ht="15" thickBot="1" x14ac:dyDescent="0.4">
      <c r="A43" s="1"/>
      <c r="B43" s="1"/>
      <c r="C43" s="1"/>
      <c r="D43" s="1"/>
      <c r="E43" s="1">
        <f>Tableau1[[#This Row],[Temps d''utilisation en heure/jour]]*Tableau1[[#This Row],[Nombre de jour par semaine]]</f>
        <v>0</v>
      </c>
      <c r="F43" s="1">
        <f t="shared" si="2"/>
        <v>0</v>
      </c>
      <c r="L43">
        <v>3.5</v>
      </c>
    </row>
    <row r="44" spans="1:12" ht="15" thickBot="1" x14ac:dyDescent="0.4">
      <c r="A44" s="1"/>
      <c r="B44" s="1"/>
      <c r="C44" s="1"/>
      <c r="D44" s="1"/>
      <c r="E44" s="1">
        <f>Tableau1[[#This Row],[Temps d''utilisation en heure/jour]]*Tableau1[[#This Row],[Nombre de jour par semaine]]</f>
        <v>0</v>
      </c>
      <c r="F44" s="1">
        <f t="shared" si="2"/>
        <v>0</v>
      </c>
      <c r="L44">
        <v>3.6</v>
      </c>
    </row>
    <row r="45" spans="1:12" ht="15" thickBot="1" x14ac:dyDescent="0.4">
      <c r="A45" s="1"/>
      <c r="B45" s="1"/>
      <c r="C45" s="1"/>
      <c r="D45" s="1"/>
      <c r="E45" s="1">
        <f>Tableau1[[#This Row],[Temps d''utilisation en heure/jour]]*Tableau1[[#This Row],[Nombre de jour par semaine]]</f>
        <v>0</v>
      </c>
      <c r="F45" s="1">
        <f t="shared" si="2"/>
        <v>0</v>
      </c>
      <c r="L45">
        <v>3.7</v>
      </c>
    </row>
    <row r="46" spans="1:12" ht="15" thickBot="1" x14ac:dyDescent="0.4">
      <c r="A46" s="1"/>
      <c r="B46" s="1"/>
      <c r="C46" s="1"/>
      <c r="D46" s="1"/>
      <c r="E46" s="1">
        <f>Tableau1[[#This Row],[Temps d''utilisation en heure/jour]]*Tableau1[[#This Row],[Nombre de jour par semaine]]</f>
        <v>0</v>
      </c>
      <c r="F46" s="1">
        <f t="shared" si="2"/>
        <v>0</v>
      </c>
      <c r="L46">
        <v>3.8</v>
      </c>
    </row>
    <row r="47" spans="1:12" ht="15" thickBot="1" x14ac:dyDescent="0.4">
      <c r="A47" s="1"/>
      <c r="B47" s="1"/>
      <c r="C47" s="1"/>
      <c r="D47" s="1"/>
      <c r="E47" s="1">
        <f>Tableau1[[#This Row],[Temps d''utilisation en heure/jour]]*Tableau1[[#This Row],[Nombre de jour par semaine]]</f>
        <v>0</v>
      </c>
      <c r="F47" s="1">
        <f t="shared" si="2"/>
        <v>0</v>
      </c>
      <c r="L47">
        <v>3.9</v>
      </c>
    </row>
    <row r="48" spans="1:12" ht="15" thickBot="1" x14ac:dyDescent="0.4">
      <c r="A48" s="1"/>
      <c r="B48" s="1"/>
      <c r="C48" s="1"/>
      <c r="D48" s="1"/>
      <c r="E48" s="1">
        <f>Tableau1[[#This Row],[Temps d''utilisation en heure/jour]]*Tableau1[[#This Row],[Nombre de jour par semaine]]</f>
        <v>0</v>
      </c>
      <c r="F48" s="1">
        <f t="shared" si="2"/>
        <v>0</v>
      </c>
      <c r="L48">
        <v>4</v>
      </c>
    </row>
    <row r="49" spans="12:12" x14ac:dyDescent="0.35">
      <c r="L49">
        <v>4.0999999999999996</v>
      </c>
    </row>
    <row r="50" spans="12:12" x14ac:dyDescent="0.35">
      <c r="L50">
        <v>4.2</v>
      </c>
    </row>
    <row r="51" spans="12:12" x14ac:dyDescent="0.35">
      <c r="L51">
        <v>4.3</v>
      </c>
    </row>
    <row r="52" spans="12:12" x14ac:dyDescent="0.35">
      <c r="L52">
        <v>4.4000000000000004</v>
      </c>
    </row>
    <row r="53" spans="12:12" x14ac:dyDescent="0.35">
      <c r="L53">
        <v>4.5</v>
      </c>
    </row>
    <row r="54" spans="12:12" x14ac:dyDescent="0.35">
      <c r="L54">
        <v>4.5999999999999996</v>
      </c>
    </row>
    <row r="55" spans="12:12" x14ac:dyDescent="0.35">
      <c r="L55">
        <v>4.7</v>
      </c>
    </row>
    <row r="56" spans="12:12" x14ac:dyDescent="0.35">
      <c r="L56">
        <v>4.8</v>
      </c>
    </row>
    <row r="57" spans="12:12" x14ac:dyDescent="0.35">
      <c r="L57">
        <v>4.9000000000000004</v>
      </c>
    </row>
    <row r="58" spans="12:12" x14ac:dyDescent="0.35">
      <c r="L58">
        <v>5</v>
      </c>
    </row>
    <row r="59" spans="12:12" x14ac:dyDescent="0.35">
      <c r="L59">
        <v>5.0999999999999996</v>
      </c>
    </row>
    <row r="60" spans="12:12" x14ac:dyDescent="0.35">
      <c r="L60">
        <v>5.2</v>
      </c>
    </row>
    <row r="61" spans="12:12" x14ac:dyDescent="0.35">
      <c r="L61">
        <v>5.3</v>
      </c>
    </row>
    <row r="62" spans="12:12" x14ac:dyDescent="0.35">
      <c r="L62">
        <v>5.4</v>
      </c>
    </row>
    <row r="63" spans="12:12" x14ac:dyDescent="0.35">
      <c r="L63">
        <v>5.5</v>
      </c>
    </row>
    <row r="64" spans="12:12" x14ac:dyDescent="0.35">
      <c r="L64">
        <v>5.6</v>
      </c>
    </row>
    <row r="65" spans="12:12" x14ac:dyDescent="0.35">
      <c r="L65">
        <v>5.7</v>
      </c>
    </row>
    <row r="66" spans="12:12" x14ac:dyDescent="0.35">
      <c r="L66">
        <v>5.8</v>
      </c>
    </row>
    <row r="67" spans="12:12" x14ac:dyDescent="0.35">
      <c r="L67">
        <v>5.9</v>
      </c>
    </row>
    <row r="68" spans="12:12" x14ac:dyDescent="0.35">
      <c r="L68">
        <v>6</v>
      </c>
    </row>
    <row r="69" spans="12:12" x14ac:dyDescent="0.35">
      <c r="L69">
        <v>6.1</v>
      </c>
    </row>
    <row r="70" spans="12:12" x14ac:dyDescent="0.35">
      <c r="L70">
        <v>6.2</v>
      </c>
    </row>
    <row r="71" spans="12:12" x14ac:dyDescent="0.35">
      <c r="L71">
        <v>6.3</v>
      </c>
    </row>
    <row r="72" spans="12:12" x14ac:dyDescent="0.35">
      <c r="L72">
        <v>6.4</v>
      </c>
    </row>
    <row r="73" spans="12:12" x14ac:dyDescent="0.35">
      <c r="L73">
        <v>6.5</v>
      </c>
    </row>
    <row r="74" spans="12:12" x14ac:dyDescent="0.35">
      <c r="L74">
        <v>6.6</v>
      </c>
    </row>
    <row r="75" spans="12:12" x14ac:dyDescent="0.35">
      <c r="L75">
        <v>6.7</v>
      </c>
    </row>
    <row r="76" spans="12:12" x14ac:dyDescent="0.35">
      <c r="L76">
        <v>6.8</v>
      </c>
    </row>
    <row r="77" spans="12:12" x14ac:dyDescent="0.35">
      <c r="L77">
        <v>6.9</v>
      </c>
    </row>
    <row r="78" spans="12:12" x14ac:dyDescent="0.35">
      <c r="L78">
        <v>7</v>
      </c>
    </row>
    <row r="79" spans="12:12" x14ac:dyDescent="0.35">
      <c r="L79">
        <v>7.1</v>
      </c>
    </row>
    <row r="80" spans="12:12" x14ac:dyDescent="0.35">
      <c r="L80">
        <v>7.2</v>
      </c>
    </row>
    <row r="81" spans="12:12" x14ac:dyDescent="0.35">
      <c r="L81">
        <v>7.3</v>
      </c>
    </row>
    <row r="82" spans="12:12" x14ac:dyDescent="0.35">
      <c r="L82">
        <v>7.4</v>
      </c>
    </row>
    <row r="83" spans="12:12" x14ac:dyDescent="0.35">
      <c r="L83">
        <v>7.5</v>
      </c>
    </row>
    <row r="84" spans="12:12" x14ac:dyDescent="0.35">
      <c r="L84">
        <v>7.6</v>
      </c>
    </row>
    <row r="85" spans="12:12" x14ac:dyDescent="0.35">
      <c r="L85">
        <v>7.7</v>
      </c>
    </row>
    <row r="86" spans="12:12" x14ac:dyDescent="0.35">
      <c r="L86">
        <v>7.8</v>
      </c>
    </row>
    <row r="87" spans="12:12" x14ac:dyDescent="0.35">
      <c r="L87">
        <v>7.9</v>
      </c>
    </row>
    <row r="88" spans="12:12" x14ac:dyDescent="0.35">
      <c r="L88">
        <v>8</v>
      </c>
    </row>
    <row r="89" spans="12:12" x14ac:dyDescent="0.35">
      <c r="L89">
        <v>8.1</v>
      </c>
    </row>
    <row r="90" spans="12:12" x14ac:dyDescent="0.35">
      <c r="L90">
        <v>8.1999999999999993</v>
      </c>
    </row>
    <row r="91" spans="12:12" x14ac:dyDescent="0.35">
      <c r="L91">
        <v>8.3000000000000007</v>
      </c>
    </row>
    <row r="92" spans="12:12" x14ac:dyDescent="0.35">
      <c r="L92">
        <v>8.4</v>
      </c>
    </row>
    <row r="93" spans="12:12" x14ac:dyDescent="0.35">
      <c r="L93">
        <v>8.5</v>
      </c>
    </row>
    <row r="94" spans="12:12" x14ac:dyDescent="0.35">
      <c r="L94">
        <v>8.6</v>
      </c>
    </row>
    <row r="95" spans="12:12" x14ac:dyDescent="0.35">
      <c r="L95">
        <v>8.6999999999999993</v>
      </c>
    </row>
    <row r="96" spans="12:12" x14ac:dyDescent="0.35">
      <c r="L96">
        <v>8.8000000000000007</v>
      </c>
    </row>
    <row r="97" spans="12:12" x14ac:dyDescent="0.35">
      <c r="L97">
        <v>8.9</v>
      </c>
    </row>
    <row r="98" spans="12:12" x14ac:dyDescent="0.35">
      <c r="L98">
        <v>9</v>
      </c>
    </row>
    <row r="99" spans="12:12" x14ac:dyDescent="0.35">
      <c r="L99">
        <v>9.1</v>
      </c>
    </row>
    <row r="100" spans="12:12" x14ac:dyDescent="0.35">
      <c r="L100">
        <v>9.1999999999999993</v>
      </c>
    </row>
    <row r="101" spans="12:12" x14ac:dyDescent="0.35">
      <c r="L101">
        <v>9.3000000000000007</v>
      </c>
    </row>
    <row r="102" spans="12:12" x14ac:dyDescent="0.35">
      <c r="L102">
        <v>9.4</v>
      </c>
    </row>
    <row r="103" spans="12:12" x14ac:dyDescent="0.35">
      <c r="L103">
        <v>9.5</v>
      </c>
    </row>
    <row r="104" spans="12:12" x14ac:dyDescent="0.35">
      <c r="L104">
        <v>9.6</v>
      </c>
    </row>
    <row r="105" spans="12:12" x14ac:dyDescent="0.35">
      <c r="L105">
        <v>9.6999999999999993</v>
      </c>
    </row>
    <row r="106" spans="12:12" x14ac:dyDescent="0.35">
      <c r="L106">
        <v>9.8000000000000007</v>
      </c>
    </row>
    <row r="107" spans="12:12" x14ac:dyDescent="0.35">
      <c r="L107">
        <v>9.9</v>
      </c>
    </row>
    <row r="108" spans="12:12" x14ac:dyDescent="0.35">
      <c r="L108">
        <v>10</v>
      </c>
    </row>
    <row r="109" spans="12:12" x14ac:dyDescent="0.35">
      <c r="L109">
        <v>10.1</v>
      </c>
    </row>
    <row r="110" spans="12:12" x14ac:dyDescent="0.35">
      <c r="L110">
        <v>10.199999999999999</v>
      </c>
    </row>
    <row r="111" spans="12:12" x14ac:dyDescent="0.35">
      <c r="L111">
        <v>10.3</v>
      </c>
    </row>
    <row r="112" spans="12:12" x14ac:dyDescent="0.35">
      <c r="L112">
        <v>10.4</v>
      </c>
    </row>
    <row r="113" spans="12:12" x14ac:dyDescent="0.35">
      <c r="L113">
        <v>10.5</v>
      </c>
    </row>
    <row r="114" spans="12:12" x14ac:dyDescent="0.35">
      <c r="L114">
        <v>10.6</v>
      </c>
    </row>
    <row r="115" spans="12:12" x14ac:dyDescent="0.35">
      <c r="L115">
        <v>10.7</v>
      </c>
    </row>
    <row r="116" spans="12:12" x14ac:dyDescent="0.35">
      <c r="L116">
        <v>10.8</v>
      </c>
    </row>
    <row r="117" spans="12:12" x14ac:dyDescent="0.35">
      <c r="L117">
        <v>10.9</v>
      </c>
    </row>
    <row r="118" spans="12:12" x14ac:dyDescent="0.35">
      <c r="L118">
        <v>11</v>
      </c>
    </row>
    <row r="119" spans="12:12" x14ac:dyDescent="0.35">
      <c r="L119">
        <v>11.1</v>
      </c>
    </row>
    <row r="120" spans="12:12" x14ac:dyDescent="0.35">
      <c r="L120">
        <v>11.2</v>
      </c>
    </row>
    <row r="121" spans="12:12" x14ac:dyDescent="0.35">
      <c r="L121">
        <v>11.3</v>
      </c>
    </row>
    <row r="122" spans="12:12" x14ac:dyDescent="0.35">
      <c r="L122">
        <v>11.4</v>
      </c>
    </row>
    <row r="123" spans="12:12" x14ac:dyDescent="0.35">
      <c r="L123">
        <v>11.5</v>
      </c>
    </row>
    <row r="124" spans="12:12" x14ac:dyDescent="0.35">
      <c r="L124">
        <v>11.6</v>
      </c>
    </row>
    <row r="125" spans="12:12" x14ac:dyDescent="0.35">
      <c r="L125">
        <v>11.7</v>
      </c>
    </row>
    <row r="126" spans="12:12" x14ac:dyDescent="0.35">
      <c r="L126">
        <v>11.8</v>
      </c>
    </row>
    <row r="127" spans="12:12" x14ac:dyDescent="0.35">
      <c r="L127">
        <v>11.9</v>
      </c>
    </row>
    <row r="128" spans="12:12" x14ac:dyDescent="0.35">
      <c r="L128">
        <v>12</v>
      </c>
    </row>
    <row r="129" spans="12:12" x14ac:dyDescent="0.35">
      <c r="L129">
        <v>12.1</v>
      </c>
    </row>
    <row r="130" spans="12:12" x14ac:dyDescent="0.35">
      <c r="L130">
        <v>12.2</v>
      </c>
    </row>
    <row r="131" spans="12:12" x14ac:dyDescent="0.35">
      <c r="L131">
        <v>12.3</v>
      </c>
    </row>
    <row r="132" spans="12:12" x14ac:dyDescent="0.35">
      <c r="L132">
        <v>12.4</v>
      </c>
    </row>
    <row r="133" spans="12:12" x14ac:dyDescent="0.35">
      <c r="L133">
        <v>12.5</v>
      </c>
    </row>
    <row r="134" spans="12:12" x14ac:dyDescent="0.35">
      <c r="L134">
        <v>12.6</v>
      </c>
    </row>
    <row r="135" spans="12:12" x14ac:dyDescent="0.35">
      <c r="L135">
        <v>12.7</v>
      </c>
    </row>
    <row r="136" spans="12:12" x14ac:dyDescent="0.35">
      <c r="L136">
        <v>12.8</v>
      </c>
    </row>
    <row r="137" spans="12:12" x14ac:dyDescent="0.35">
      <c r="L137">
        <v>12.9</v>
      </c>
    </row>
    <row r="138" spans="12:12" x14ac:dyDescent="0.35">
      <c r="L138">
        <v>13</v>
      </c>
    </row>
    <row r="139" spans="12:12" x14ac:dyDescent="0.35">
      <c r="L139">
        <v>13.1</v>
      </c>
    </row>
    <row r="140" spans="12:12" x14ac:dyDescent="0.35">
      <c r="L140">
        <v>13.2</v>
      </c>
    </row>
    <row r="141" spans="12:12" x14ac:dyDescent="0.35">
      <c r="L141">
        <v>13.3</v>
      </c>
    </row>
    <row r="142" spans="12:12" x14ac:dyDescent="0.35">
      <c r="L142">
        <v>13.4</v>
      </c>
    </row>
    <row r="143" spans="12:12" x14ac:dyDescent="0.35">
      <c r="L143">
        <v>13.5</v>
      </c>
    </row>
    <row r="144" spans="12:12" x14ac:dyDescent="0.35">
      <c r="L144">
        <v>13.6</v>
      </c>
    </row>
    <row r="145" spans="12:12" x14ac:dyDescent="0.35">
      <c r="L145">
        <v>13.7</v>
      </c>
    </row>
    <row r="146" spans="12:12" x14ac:dyDescent="0.35">
      <c r="L146">
        <v>13.8</v>
      </c>
    </row>
    <row r="147" spans="12:12" x14ac:dyDescent="0.35">
      <c r="L147">
        <v>13.9</v>
      </c>
    </row>
    <row r="148" spans="12:12" x14ac:dyDescent="0.35">
      <c r="L148">
        <v>14</v>
      </c>
    </row>
    <row r="149" spans="12:12" x14ac:dyDescent="0.35">
      <c r="L149">
        <v>14.1</v>
      </c>
    </row>
    <row r="150" spans="12:12" x14ac:dyDescent="0.35">
      <c r="L150">
        <v>14.2</v>
      </c>
    </row>
    <row r="151" spans="12:12" x14ac:dyDescent="0.35">
      <c r="L151">
        <v>14.3</v>
      </c>
    </row>
    <row r="152" spans="12:12" x14ac:dyDescent="0.35">
      <c r="L152">
        <v>14.4</v>
      </c>
    </row>
    <row r="153" spans="12:12" x14ac:dyDescent="0.35">
      <c r="L153">
        <v>14.5</v>
      </c>
    </row>
    <row r="154" spans="12:12" x14ac:dyDescent="0.35">
      <c r="L154">
        <v>14.6</v>
      </c>
    </row>
    <row r="155" spans="12:12" x14ac:dyDescent="0.35">
      <c r="L155">
        <v>14.7</v>
      </c>
    </row>
    <row r="156" spans="12:12" x14ac:dyDescent="0.35">
      <c r="L156">
        <v>14.8</v>
      </c>
    </row>
    <row r="157" spans="12:12" x14ac:dyDescent="0.35">
      <c r="L157">
        <v>14.9</v>
      </c>
    </row>
    <row r="158" spans="12:12" x14ac:dyDescent="0.35">
      <c r="L158">
        <v>15</v>
      </c>
    </row>
    <row r="159" spans="12:12" x14ac:dyDescent="0.35">
      <c r="L159">
        <v>15.1</v>
      </c>
    </row>
    <row r="160" spans="12:12" x14ac:dyDescent="0.35">
      <c r="L160">
        <v>15.2</v>
      </c>
    </row>
    <row r="161" spans="12:12" x14ac:dyDescent="0.35">
      <c r="L161">
        <v>15.3</v>
      </c>
    </row>
    <row r="162" spans="12:12" x14ac:dyDescent="0.35">
      <c r="L162">
        <v>15.4</v>
      </c>
    </row>
    <row r="163" spans="12:12" x14ac:dyDescent="0.35">
      <c r="L163">
        <v>15.5</v>
      </c>
    </row>
    <row r="164" spans="12:12" x14ac:dyDescent="0.35">
      <c r="L164">
        <v>15.6</v>
      </c>
    </row>
    <row r="165" spans="12:12" x14ac:dyDescent="0.35">
      <c r="L165">
        <v>15.7</v>
      </c>
    </row>
    <row r="166" spans="12:12" x14ac:dyDescent="0.35">
      <c r="L166">
        <v>15.8</v>
      </c>
    </row>
    <row r="167" spans="12:12" x14ac:dyDescent="0.35">
      <c r="L167">
        <v>15.9</v>
      </c>
    </row>
    <row r="168" spans="12:12" x14ac:dyDescent="0.35">
      <c r="L168">
        <v>16</v>
      </c>
    </row>
    <row r="169" spans="12:12" x14ac:dyDescent="0.35">
      <c r="L169">
        <v>16.100000000000001</v>
      </c>
    </row>
    <row r="170" spans="12:12" x14ac:dyDescent="0.35">
      <c r="L170">
        <v>16.2</v>
      </c>
    </row>
    <row r="171" spans="12:12" x14ac:dyDescent="0.35">
      <c r="L171">
        <v>16.3</v>
      </c>
    </row>
    <row r="172" spans="12:12" x14ac:dyDescent="0.35">
      <c r="L172">
        <v>16.399999999999999</v>
      </c>
    </row>
    <row r="173" spans="12:12" x14ac:dyDescent="0.35">
      <c r="L173">
        <v>16.5</v>
      </c>
    </row>
    <row r="174" spans="12:12" x14ac:dyDescent="0.35">
      <c r="L174">
        <v>16.600000000000001</v>
      </c>
    </row>
    <row r="175" spans="12:12" x14ac:dyDescent="0.35">
      <c r="L175">
        <v>16.7</v>
      </c>
    </row>
    <row r="176" spans="12:12" x14ac:dyDescent="0.35">
      <c r="L176">
        <v>16.8</v>
      </c>
    </row>
    <row r="177" spans="12:12" x14ac:dyDescent="0.35">
      <c r="L177">
        <v>16.899999999999999</v>
      </c>
    </row>
    <row r="178" spans="12:12" x14ac:dyDescent="0.35">
      <c r="L178">
        <v>17</v>
      </c>
    </row>
    <row r="179" spans="12:12" x14ac:dyDescent="0.35">
      <c r="L179">
        <v>17.100000000000001</v>
      </c>
    </row>
    <row r="180" spans="12:12" x14ac:dyDescent="0.35">
      <c r="L180">
        <v>17.2</v>
      </c>
    </row>
    <row r="181" spans="12:12" x14ac:dyDescent="0.35">
      <c r="L181">
        <v>17.3</v>
      </c>
    </row>
    <row r="182" spans="12:12" x14ac:dyDescent="0.35">
      <c r="L182">
        <v>17.399999999999999</v>
      </c>
    </row>
    <row r="183" spans="12:12" x14ac:dyDescent="0.35">
      <c r="L183">
        <v>17.5</v>
      </c>
    </row>
    <row r="184" spans="12:12" x14ac:dyDescent="0.35">
      <c r="L184">
        <v>17.600000000000001</v>
      </c>
    </row>
    <row r="185" spans="12:12" x14ac:dyDescent="0.35">
      <c r="L185">
        <v>17.7</v>
      </c>
    </row>
    <row r="186" spans="12:12" x14ac:dyDescent="0.35">
      <c r="L186">
        <v>17.8</v>
      </c>
    </row>
    <row r="187" spans="12:12" x14ac:dyDescent="0.35">
      <c r="L187">
        <v>17.899999999999999</v>
      </c>
    </row>
    <row r="188" spans="12:12" x14ac:dyDescent="0.35">
      <c r="L188">
        <v>18</v>
      </c>
    </row>
    <row r="189" spans="12:12" x14ac:dyDescent="0.35">
      <c r="L189">
        <v>18.100000000000001</v>
      </c>
    </row>
    <row r="190" spans="12:12" x14ac:dyDescent="0.35">
      <c r="L190">
        <v>18.2</v>
      </c>
    </row>
    <row r="191" spans="12:12" x14ac:dyDescent="0.35">
      <c r="L191">
        <v>18.3</v>
      </c>
    </row>
    <row r="192" spans="12:12" x14ac:dyDescent="0.35">
      <c r="L192">
        <v>18.399999999999999</v>
      </c>
    </row>
    <row r="193" spans="12:12" x14ac:dyDescent="0.35">
      <c r="L193">
        <v>18.5</v>
      </c>
    </row>
    <row r="194" spans="12:12" x14ac:dyDescent="0.35">
      <c r="L194">
        <v>18.600000000000001</v>
      </c>
    </row>
    <row r="195" spans="12:12" x14ac:dyDescent="0.35">
      <c r="L195">
        <v>18.7</v>
      </c>
    </row>
    <row r="196" spans="12:12" x14ac:dyDescent="0.35">
      <c r="L196">
        <v>18.8</v>
      </c>
    </row>
    <row r="197" spans="12:12" x14ac:dyDescent="0.35">
      <c r="L197">
        <v>18.899999999999999</v>
      </c>
    </row>
    <row r="198" spans="12:12" x14ac:dyDescent="0.35">
      <c r="L198">
        <v>19</v>
      </c>
    </row>
    <row r="199" spans="12:12" x14ac:dyDescent="0.35">
      <c r="L199">
        <v>19.100000000000001</v>
      </c>
    </row>
    <row r="200" spans="12:12" x14ac:dyDescent="0.35">
      <c r="L200">
        <v>19.2</v>
      </c>
    </row>
    <row r="201" spans="12:12" x14ac:dyDescent="0.35">
      <c r="L201">
        <v>19.3</v>
      </c>
    </row>
    <row r="202" spans="12:12" x14ac:dyDescent="0.35">
      <c r="L202">
        <v>19.399999999999999</v>
      </c>
    </row>
    <row r="203" spans="12:12" x14ac:dyDescent="0.35">
      <c r="L203">
        <v>19.5</v>
      </c>
    </row>
    <row r="204" spans="12:12" x14ac:dyDescent="0.35">
      <c r="L204">
        <v>19.600000000000001</v>
      </c>
    </row>
    <row r="205" spans="12:12" x14ac:dyDescent="0.35">
      <c r="L205">
        <v>19.7</v>
      </c>
    </row>
    <row r="206" spans="12:12" x14ac:dyDescent="0.35">
      <c r="L206">
        <v>19.8</v>
      </c>
    </row>
    <row r="207" spans="12:12" x14ac:dyDescent="0.35">
      <c r="L207">
        <v>19.899999999999999</v>
      </c>
    </row>
    <row r="208" spans="12:12" x14ac:dyDescent="0.35">
      <c r="L208">
        <v>20</v>
      </c>
    </row>
    <row r="209" spans="12:12" x14ac:dyDescent="0.35">
      <c r="L209">
        <v>20.100000000000001</v>
      </c>
    </row>
    <row r="210" spans="12:12" x14ac:dyDescent="0.35">
      <c r="L210">
        <v>20.2</v>
      </c>
    </row>
    <row r="211" spans="12:12" x14ac:dyDescent="0.35">
      <c r="L211">
        <v>20.3</v>
      </c>
    </row>
    <row r="212" spans="12:12" x14ac:dyDescent="0.35">
      <c r="L212">
        <v>20.399999999999999</v>
      </c>
    </row>
    <row r="213" spans="12:12" x14ac:dyDescent="0.35">
      <c r="L213">
        <v>20.5</v>
      </c>
    </row>
    <row r="214" spans="12:12" x14ac:dyDescent="0.35">
      <c r="L214">
        <v>20.6</v>
      </c>
    </row>
    <row r="215" spans="12:12" x14ac:dyDescent="0.35">
      <c r="L215">
        <v>20.7</v>
      </c>
    </row>
    <row r="216" spans="12:12" x14ac:dyDescent="0.35">
      <c r="L216">
        <v>20.8</v>
      </c>
    </row>
    <row r="217" spans="12:12" x14ac:dyDescent="0.35">
      <c r="L217">
        <v>20.9</v>
      </c>
    </row>
    <row r="218" spans="12:12" x14ac:dyDescent="0.35">
      <c r="L218">
        <v>21</v>
      </c>
    </row>
    <row r="219" spans="12:12" x14ac:dyDescent="0.35">
      <c r="L219">
        <v>21.1</v>
      </c>
    </row>
    <row r="220" spans="12:12" x14ac:dyDescent="0.35">
      <c r="L220">
        <v>21.2</v>
      </c>
    </row>
    <row r="221" spans="12:12" x14ac:dyDescent="0.35">
      <c r="L221">
        <v>21.3</v>
      </c>
    </row>
    <row r="222" spans="12:12" x14ac:dyDescent="0.35">
      <c r="L222">
        <v>21.4</v>
      </c>
    </row>
    <row r="223" spans="12:12" x14ac:dyDescent="0.35">
      <c r="L223">
        <v>21.5</v>
      </c>
    </row>
    <row r="224" spans="12:12" x14ac:dyDescent="0.35">
      <c r="L224">
        <v>21.6</v>
      </c>
    </row>
    <row r="225" spans="12:12" x14ac:dyDescent="0.35">
      <c r="L225">
        <v>21.7</v>
      </c>
    </row>
    <row r="226" spans="12:12" x14ac:dyDescent="0.35">
      <c r="L226">
        <v>21.8</v>
      </c>
    </row>
    <row r="227" spans="12:12" x14ac:dyDescent="0.35">
      <c r="L227">
        <v>21.9</v>
      </c>
    </row>
    <row r="228" spans="12:12" x14ac:dyDescent="0.35">
      <c r="L228">
        <v>22</v>
      </c>
    </row>
    <row r="229" spans="12:12" x14ac:dyDescent="0.35">
      <c r="L229">
        <v>22.1</v>
      </c>
    </row>
    <row r="230" spans="12:12" x14ac:dyDescent="0.35">
      <c r="L230">
        <v>22.2</v>
      </c>
    </row>
    <row r="231" spans="12:12" x14ac:dyDescent="0.35">
      <c r="L231">
        <v>22.3</v>
      </c>
    </row>
    <row r="232" spans="12:12" x14ac:dyDescent="0.35">
      <c r="L232">
        <v>22.4</v>
      </c>
    </row>
    <row r="233" spans="12:12" x14ac:dyDescent="0.35">
      <c r="L233">
        <v>22.5</v>
      </c>
    </row>
    <row r="234" spans="12:12" x14ac:dyDescent="0.35">
      <c r="L234">
        <v>22.6</v>
      </c>
    </row>
    <row r="235" spans="12:12" x14ac:dyDescent="0.35">
      <c r="L235">
        <v>22.7</v>
      </c>
    </row>
    <row r="236" spans="12:12" x14ac:dyDescent="0.35">
      <c r="L236">
        <v>22.8</v>
      </c>
    </row>
    <row r="237" spans="12:12" x14ac:dyDescent="0.35">
      <c r="L237">
        <v>22.9</v>
      </c>
    </row>
    <row r="238" spans="12:12" x14ac:dyDescent="0.35">
      <c r="L238">
        <v>23</v>
      </c>
    </row>
    <row r="239" spans="12:12" x14ac:dyDescent="0.35">
      <c r="L239">
        <v>23.1</v>
      </c>
    </row>
    <row r="240" spans="12:12" x14ac:dyDescent="0.35">
      <c r="L240">
        <v>23.2</v>
      </c>
    </row>
    <row r="241" spans="12:12" x14ac:dyDescent="0.35">
      <c r="L241">
        <v>23.3</v>
      </c>
    </row>
    <row r="242" spans="12:12" x14ac:dyDescent="0.35">
      <c r="L242">
        <v>23.4</v>
      </c>
    </row>
    <row r="243" spans="12:12" x14ac:dyDescent="0.35">
      <c r="L243">
        <v>23.5</v>
      </c>
    </row>
    <row r="244" spans="12:12" x14ac:dyDescent="0.35">
      <c r="L244">
        <v>23.6</v>
      </c>
    </row>
    <row r="245" spans="12:12" x14ac:dyDescent="0.35">
      <c r="L245">
        <v>23.7</v>
      </c>
    </row>
    <row r="246" spans="12:12" x14ac:dyDescent="0.35">
      <c r="L246">
        <v>23.8</v>
      </c>
    </row>
    <row r="247" spans="12:12" x14ac:dyDescent="0.35">
      <c r="L247">
        <v>23.9</v>
      </c>
    </row>
    <row r="248" spans="12:12" x14ac:dyDescent="0.35">
      <c r="L248">
        <v>24</v>
      </c>
    </row>
  </sheetData>
  <mergeCells count="4">
    <mergeCell ref="J5:L5"/>
    <mergeCell ref="A10:F11"/>
    <mergeCell ref="A7:F8"/>
    <mergeCell ref="B1:F6"/>
  </mergeCells>
  <dataValidations count="2">
    <dataValidation type="decimal" operator="greaterThanOrEqual" allowBlank="1" showInputMessage="1" showErrorMessage="1" sqref="O11 B13:B25 B27:B48" xr:uid="{048DF120-146E-4037-9896-538A6B5C5BCC}">
      <formula1>0</formula1>
    </dataValidation>
    <dataValidation type="list" allowBlank="1" showInputMessage="1" showErrorMessage="1" sqref="O12 C13:C25 C27:C48" xr:uid="{9C297585-2633-4BAE-A400-3D9225F2B24A}">
      <formula1>$L$8:$L$248</formula1>
    </dataValidation>
  </dataValidations>
  <pageMargins left="0.7" right="0.7" top="0.75" bottom="0.75" header="0.3" footer="0.3"/>
  <pageSetup paperSize="9" orientation="portrait" r:id="rId1"/>
  <drawing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41542A-0D2E-4044-A4FF-6359CA03B2A5}">
  <dimension ref="A1:D14"/>
  <sheetViews>
    <sheetView zoomScale="57" workbookViewId="0">
      <selection activeCell="F10" sqref="F10"/>
    </sheetView>
  </sheetViews>
  <sheetFormatPr baseColWidth="10" defaultColWidth="16.1796875" defaultRowHeight="14.5" x14ac:dyDescent="0.35"/>
  <sheetData>
    <row r="1" spans="1:4" ht="14.5" customHeight="1" x14ac:dyDescent="0.35">
      <c r="A1" s="30"/>
      <c r="B1" s="48" t="s">
        <v>70</v>
      </c>
      <c r="C1" s="48"/>
      <c r="D1" s="48"/>
    </row>
    <row r="2" spans="1:4" ht="14.5" customHeight="1" x14ac:dyDescent="0.35">
      <c r="A2" s="30"/>
      <c r="B2" s="48"/>
      <c r="C2" s="48"/>
      <c r="D2" s="48"/>
    </row>
    <row r="3" spans="1:4" ht="14.5" customHeight="1" x14ac:dyDescent="0.35">
      <c r="A3" s="30"/>
      <c r="B3" s="48"/>
      <c r="C3" s="48"/>
      <c r="D3" s="48"/>
    </row>
    <row r="4" spans="1:4" ht="14.5" customHeight="1" x14ac:dyDescent="0.35">
      <c r="A4" s="30"/>
      <c r="B4" s="48"/>
      <c r="C4" s="48"/>
      <c r="D4" s="48"/>
    </row>
    <row r="5" spans="1:4" ht="14.5" customHeight="1" x14ac:dyDescent="0.35">
      <c r="A5" s="31"/>
      <c r="B5" s="32"/>
      <c r="C5" s="32"/>
      <c r="D5" s="32"/>
    </row>
    <row r="6" spans="1:4" ht="14.5" customHeight="1" x14ac:dyDescent="0.35">
      <c r="A6" s="47" t="s">
        <v>49</v>
      </c>
      <c r="B6" s="47"/>
      <c r="C6" s="47"/>
      <c r="D6" s="22"/>
    </row>
    <row r="7" spans="1:4" x14ac:dyDescent="0.35">
      <c r="A7" s="47"/>
      <c r="B7" s="47"/>
      <c r="C7" s="47"/>
      <c r="D7" s="11" t="s">
        <v>26</v>
      </c>
    </row>
    <row r="9" spans="1:4" x14ac:dyDescent="0.35">
      <c r="A9" s="37" t="s">
        <v>46</v>
      </c>
      <c r="B9" s="37"/>
      <c r="C9" s="37" t="s">
        <v>47</v>
      </c>
      <c r="D9" s="37"/>
    </row>
    <row r="10" spans="1:4" x14ac:dyDescent="0.35">
      <c r="A10" s="13" t="s">
        <v>50</v>
      </c>
      <c r="B10" s="13" t="s">
        <v>51</v>
      </c>
      <c r="C10" s="13" t="s">
        <v>50</v>
      </c>
      <c r="D10" s="13" t="s">
        <v>51</v>
      </c>
    </row>
    <row r="11" spans="1:4" x14ac:dyDescent="0.35">
      <c r="A11" s="13" t="s">
        <v>40</v>
      </c>
      <c r="B11" s="14">
        <v>0.19520000000000001</v>
      </c>
      <c r="C11" s="13" t="s">
        <v>47</v>
      </c>
      <c r="D11" s="14">
        <v>0.1045</v>
      </c>
    </row>
    <row r="12" spans="1:4" x14ac:dyDescent="0.35">
      <c r="A12" s="13" t="s">
        <v>52</v>
      </c>
      <c r="B12" s="14">
        <v>0.20810000000000001</v>
      </c>
    </row>
    <row r="13" spans="1:4" x14ac:dyDescent="0.35">
      <c r="A13" s="23" t="s">
        <v>53</v>
      </c>
      <c r="B13" s="24">
        <v>0.16350000000000001</v>
      </c>
    </row>
    <row r="14" spans="1:4" x14ac:dyDescent="0.35">
      <c r="A14" s="13" t="s">
        <v>60</v>
      </c>
      <c r="B14" s="14">
        <v>150</v>
      </c>
      <c r="C14" s="13" t="s">
        <v>60</v>
      </c>
      <c r="D14" s="14">
        <v>250</v>
      </c>
    </row>
  </sheetData>
  <mergeCells count="4">
    <mergeCell ref="A6:C7"/>
    <mergeCell ref="A9:B9"/>
    <mergeCell ref="C9:D9"/>
    <mergeCell ref="B1:D4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E3D686-16C4-42D8-B888-43A0187D2018}">
  <dimension ref="A1:H23"/>
  <sheetViews>
    <sheetView topLeftCell="A3" zoomScale="75" workbookViewId="0">
      <selection activeCell="K7" sqref="K7"/>
    </sheetView>
  </sheetViews>
  <sheetFormatPr baseColWidth="10" defaultRowHeight="14.5" x14ac:dyDescent="0.35"/>
  <cols>
    <col min="1" max="2" width="19.26953125" customWidth="1"/>
    <col min="7" max="7" width="22.90625" customWidth="1"/>
    <col min="8" max="8" width="9.81640625" customWidth="1"/>
  </cols>
  <sheetData>
    <row r="1" spans="1:8" ht="14.5" customHeight="1" x14ac:dyDescent="0.35">
      <c r="A1" s="50" t="s">
        <v>27</v>
      </c>
      <c r="B1" s="50"/>
      <c r="C1" s="50"/>
      <c r="D1" s="50"/>
    </row>
    <row r="2" spans="1:8" x14ac:dyDescent="0.35">
      <c r="A2" s="50"/>
      <c r="B2" s="50"/>
      <c r="C2" s="50"/>
      <c r="D2" s="50"/>
    </row>
    <row r="4" spans="1:8" x14ac:dyDescent="0.35">
      <c r="H4" s="15"/>
    </row>
    <row r="5" spans="1:8" x14ac:dyDescent="0.35">
      <c r="H5" s="15"/>
    </row>
    <row r="6" spans="1:8" x14ac:dyDescent="0.35">
      <c r="A6" s="49" t="s">
        <v>28</v>
      </c>
      <c r="B6" s="49"/>
      <c r="C6" s="49"/>
      <c r="D6" s="49"/>
      <c r="E6" s="49"/>
      <c r="G6" s="20" t="s">
        <v>45</v>
      </c>
      <c r="H6" s="16">
        <f>SUM(Tableau1[Consommation annuelle (kWh)])</f>
        <v>3701.3600000000006</v>
      </c>
    </row>
    <row r="7" spans="1:8" x14ac:dyDescent="0.35">
      <c r="A7" s="49" t="s">
        <v>43</v>
      </c>
      <c r="B7" s="49"/>
      <c r="C7" s="49"/>
      <c r="D7" s="49"/>
      <c r="E7" s="49"/>
      <c r="G7" s="20" t="s">
        <v>81</v>
      </c>
      <c r="H7" s="17"/>
    </row>
    <row r="8" spans="1:8" x14ac:dyDescent="0.35">
      <c r="A8" s="49"/>
      <c r="B8" s="49"/>
      <c r="C8" s="49"/>
      <c r="D8" s="49"/>
      <c r="E8" s="49"/>
      <c r="H8" s="16"/>
    </row>
    <row r="9" spans="1:8" x14ac:dyDescent="0.35">
      <c r="H9" s="17"/>
    </row>
    <row r="10" spans="1:8" x14ac:dyDescent="0.35">
      <c r="A10" s="49" t="s">
        <v>42</v>
      </c>
      <c r="B10" s="49"/>
      <c r="C10" s="49"/>
      <c r="D10" s="49"/>
      <c r="E10" s="49"/>
      <c r="F10" s="49"/>
      <c r="G10" s="20" t="s">
        <v>66</v>
      </c>
      <c r="H10">
        <f>(Simulateur!B12*IF(Simulateur!B14="Ancienne", 150, IF(Simulateur!B14="RT2012 (moyenne)", 100, 50)))</f>
        <v>2000</v>
      </c>
    </row>
    <row r="11" spans="1:8" ht="14.5" customHeight="1" x14ac:dyDescent="0.35">
      <c r="A11" s="51" t="s">
        <v>44</v>
      </c>
      <c r="B11" s="52"/>
      <c r="C11" s="52"/>
      <c r="D11" s="52"/>
      <c r="E11" s="52"/>
      <c r="F11" s="52"/>
      <c r="G11" s="20" t="s">
        <v>67</v>
      </c>
      <c r="H11">
        <f>Simulateur!B13*900</f>
        <v>1800</v>
      </c>
    </row>
    <row r="12" spans="1:8" x14ac:dyDescent="0.35">
      <c r="A12" s="52"/>
      <c r="B12" s="52"/>
      <c r="C12" s="52"/>
      <c r="D12" s="52"/>
      <c r="E12" s="52"/>
      <c r="F12" s="52"/>
      <c r="H12" s="16"/>
    </row>
    <row r="13" spans="1:8" x14ac:dyDescent="0.35">
      <c r="A13" s="52"/>
      <c r="B13" s="52"/>
      <c r="C13" s="52"/>
      <c r="D13" s="52"/>
      <c r="E13" s="52"/>
      <c r="F13" s="52"/>
      <c r="H13" s="17"/>
    </row>
    <row r="14" spans="1:8" x14ac:dyDescent="0.35">
      <c r="A14" s="52"/>
      <c r="B14" s="52"/>
      <c r="C14" s="52"/>
      <c r="D14" s="52"/>
      <c r="E14" s="52"/>
      <c r="F14" s="52"/>
    </row>
    <row r="17" spans="1:3" x14ac:dyDescent="0.35">
      <c r="A17" t="s">
        <v>62</v>
      </c>
      <c r="B17" t="s">
        <v>63</v>
      </c>
      <c r="C17" t="s">
        <v>68</v>
      </c>
    </row>
    <row r="18" spans="1:3" x14ac:dyDescent="0.35">
      <c r="A18" t="s">
        <v>61</v>
      </c>
      <c r="B18" s="28">
        <f>Simulateur!B12 * IF(Simulateur!B14="Ancienne", 150, IF(Simulateur!B14="RT2012 (moyenne)", 100, 50))</f>
        <v>2000</v>
      </c>
      <c r="C18" s="28">
        <f>IF(Simulateur!B15="Electrique et gaz", Tableau2[[#This Row],[Consommation]]*Tarifs!D11, IF(Simulateur!B16="Normal", Tableau2[[#This Row],[Consommation]]*Tarifs!B11, Tableau2[[#This Row],[Consommation]]*(0.6*Tarifs!B12+0.4*Tarifs!B13)))</f>
        <v>209</v>
      </c>
    </row>
    <row r="19" spans="1:3" x14ac:dyDescent="0.35">
      <c r="A19" t="s">
        <v>64</v>
      </c>
      <c r="B19" s="28">
        <f>Simulateur!B13 * 900</f>
        <v>1800</v>
      </c>
      <c r="C19" s="28">
        <f>IF(Simulateur!B15="Electrique et gaz", Tableau2[[#This Row],[Consommation]]*Tarifs!D11, IF(Simulateur!B16="Normal", Tableau2[[#This Row],[Consommation]]*Tarifs!B11, Tableau2[[#This Row],[Consommation]]*(0.6*Tarifs!B12+0.4*Tarifs!B13)))</f>
        <v>188.1</v>
      </c>
    </row>
    <row r="20" spans="1:3" x14ac:dyDescent="0.35">
      <c r="A20" t="s">
        <v>65</v>
      </c>
      <c r="B20" s="28">
        <f>H6</f>
        <v>3701.3600000000006</v>
      </c>
      <c r="C20" s="28">
        <f>IF(Simulateur!B16="Normal", Tableau2[[#This Row],[Consommation]]*Tarifs!B11, Tableau2[[#This Row],[Consommation]]*(0.6*Tarifs!B12+0.4*Tarifs!B13))</f>
        <v>704.22075360000008</v>
      </c>
    </row>
    <row r="21" spans="1:3" x14ac:dyDescent="0.35">
      <c r="A21" t="s">
        <v>71</v>
      </c>
      <c r="B21" s="28">
        <f>H13</f>
        <v>0</v>
      </c>
      <c r="C21" s="28">
        <f>Tarifs!B14</f>
        <v>150</v>
      </c>
    </row>
    <row r="22" spans="1:3" x14ac:dyDescent="0.35">
      <c r="A22" t="s">
        <v>69</v>
      </c>
      <c r="B22" s="28">
        <f>H14</f>
        <v>0</v>
      </c>
      <c r="C22" s="28">
        <f>IF(Simulateur!B15="Electrique et gaz",Tarifs!D14,"N/A")</f>
        <v>250</v>
      </c>
    </row>
    <row r="23" spans="1:3" x14ac:dyDescent="0.35">
      <c r="A23" t="s">
        <v>80</v>
      </c>
      <c r="B23" s="28">
        <f>'Base de données'!O15</f>
        <v>364</v>
      </c>
      <c r="C23" s="33">
        <f>IF(Simulateur!B17="Electrique", IF(Simulateur!B16="Normal", Tableau2[[#This Row],[Consommation]]*Tarifs!B11, Tableau2[[#This Row],[Consommation]]*(0.6*Tarifs!B12+0.4*Tarifs!B13)), Tableau2[[#This Row],[Consommation]]*Tarifs!D11)</f>
        <v>69.254639999999995</v>
      </c>
    </row>
  </sheetData>
  <mergeCells count="5">
    <mergeCell ref="A6:E6"/>
    <mergeCell ref="A7:E8"/>
    <mergeCell ref="A1:D2"/>
    <mergeCell ref="A10:F10"/>
    <mergeCell ref="A11:F14"/>
  </mergeCells>
  <phoneticPr fontId="8" type="noConversion"/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DE63D34E541314F80CD24A648ABC5FB" ma:contentTypeVersion="7" ma:contentTypeDescription="Create a new document." ma:contentTypeScope="" ma:versionID="fe3c99d7a639c00420632a79ce9d5da4">
  <xsd:schema xmlns:xsd="http://www.w3.org/2001/XMLSchema" xmlns:xs="http://www.w3.org/2001/XMLSchema" xmlns:p="http://schemas.microsoft.com/office/2006/metadata/properties" xmlns:ns2="cd5233e2-74fb-488a-aed8-75637c784312" targetNamespace="http://schemas.microsoft.com/office/2006/metadata/properties" ma:root="true" ma:fieldsID="e0f7e7fd5fef82a93d029aca2c45b4b9" ns2:_="">
    <xsd:import namespace="cd5233e2-74fb-488a-aed8-75637c78431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d5233e2-74fb-488a-aed8-75637c78431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6C8E45DB-2133-47A8-9EE4-B8664CAF0F6F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B488BE25-43A8-4EA3-BE8B-8959BF416311}"/>
</file>

<file path=customXml/itemProps3.xml><?xml version="1.0" encoding="utf-8"?>
<ds:datastoreItem xmlns:ds="http://schemas.openxmlformats.org/officeDocument/2006/customXml" ds:itemID="{AB1D16DC-2FCD-4D4A-A1EB-9A93A1EA590F}">
  <ds:schemaRefs>
    <ds:schemaRef ds:uri="http://schemas.microsoft.com/office/infopath/2007/PartnerControls"/>
    <ds:schemaRef ds:uri="http://schemas.microsoft.com/office/2006/metadata/properties"/>
    <ds:schemaRef ds:uri="http://purl.org/dc/terms/"/>
    <ds:schemaRef ds:uri="http://purl.org/dc/elements/1.1/"/>
    <ds:schemaRef ds:uri="http://www.w3.org/XML/1998/namespace"/>
    <ds:schemaRef ds:uri="http://purl.org/dc/dcmitype/"/>
    <ds:schemaRef ds:uri="http://schemas.microsoft.com/office/2006/documentManagement/types"/>
    <ds:schemaRef ds:uri="cd5233e2-74fb-488a-aed8-75637c784312"/>
    <ds:schemaRef ds:uri="http://schemas.openxmlformats.org/package/2006/metadata/core-properties"/>
  </ds:schemaRefs>
</ds:datastoreItem>
</file>

<file path=docMetadata/LabelInfo.xml><?xml version="1.0" encoding="utf-8"?>
<clbl:labelList xmlns:clbl="http://schemas.microsoft.com/office/2020/mipLabelMetadata">
  <clbl:label id="{9f5c8052-b1ea-40d1-8cd5-ea0c204ca84f}" enabled="1" method="Standard" siteId="{19e51c11-d919-4a98-899d-9b9dc33f4e04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4</vt:i4>
      </vt:variant>
    </vt:vector>
  </HeadingPairs>
  <TitlesOfParts>
    <vt:vector size="4" baseType="lpstr">
      <vt:lpstr>Simulateur</vt:lpstr>
      <vt:lpstr>Base de données</vt:lpstr>
      <vt:lpstr>Tarifs</vt:lpstr>
      <vt:lpstr>Calculs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Aymeric Sas</dc:creator>
  <cp:keywords/>
  <dc:description/>
  <cp:lastModifiedBy>Aymeric SAS</cp:lastModifiedBy>
  <cp:revision/>
  <cp:lastPrinted>2026-01-07T09:50:52Z</cp:lastPrinted>
  <dcterms:created xsi:type="dcterms:W3CDTF">2025-12-10T09:44:29Z</dcterms:created>
  <dcterms:modified xsi:type="dcterms:W3CDTF">2026-01-08T09:53:27Z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0x0101004DE63D34E541314F80CD24A648ABC5FB</vt:lpwstr>
  </property>
</Properties>
</file>